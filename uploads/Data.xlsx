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XepLichThi\"/>
    </mc:Choice>
  </mc:AlternateContent>
  <xr:revisionPtr revIDLastSave="0" documentId="13_ncr:1_{183DB79C-C577-42EE-B6E3-D7274621527C}" xr6:coauthVersionLast="47" xr6:coauthVersionMax="47" xr10:uidLastSave="{00000000-0000-0000-0000-000000000000}"/>
  <bookViews>
    <workbookView xWindow="-120" yWindow="-120" windowWidth="29040" windowHeight="15720" xr2:uid="{F1678FEA-DC48-4346-B4F7-B31F6EE17D48}"/>
  </bookViews>
  <sheets>
    <sheet name="Sheet2" sheetId="11" r:id="rId1"/>
    <sheet name="K25 &amp; K9" sheetId="13" r:id="rId2"/>
    <sheet name="Sheet1" sheetId="12" r:id="rId3"/>
  </sheets>
  <definedNames>
    <definedName name="_xlnm._FilterDatabase" localSheetId="0" hidden="1">Sheet2!$A$1:$J$763</definedName>
    <definedName name="ExternalData_1" localSheetId="1" hidden="1">'K25 &amp; K9'!$A$1:$Y$126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28" i="11" l="1"/>
  <c r="D729" i="11"/>
  <c r="D730" i="11"/>
  <c r="D731" i="11"/>
  <c r="D732" i="11"/>
  <c r="D733" i="11"/>
  <c r="D734" i="11"/>
  <c r="D735" i="11"/>
  <c r="D736" i="11"/>
  <c r="D737" i="11"/>
  <c r="D738" i="11"/>
  <c r="D739" i="11"/>
  <c r="D740" i="11"/>
  <c r="D741" i="11"/>
  <c r="D742" i="11"/>
  <c r="D743" i="11"/>
  <c r="D744" i="11"/>
  <c r="D745" i="11"/>
  <c r="D746" i="11"/>
  <c r="D747" i="11"/>
  <c r="D748" i="11"/>
  <c r="D749" i="11"/>
  <c r="D750" i="11"/>
  <c r="D751" i="11"/>
  <c r="D752" i="11"/>
  <c r="D753" i="11"/>
  <c r="D754" i="11"/>
  <c r="D755" i="11"/>
  <c r="D756" i="11"/>
  <c r="D757" i="11"/>
  <c r="D758" i="11"/>
  <c r="D759" i="11"/>
  <c r="D760" i="11"/>
  <c r="D761" i="11"/>
  <c r="D762" i="11"/>
  <c r="D763" i="11"/>
  <c r="D727" i="11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2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D2" i="13"/>
  <c r="D3" i="13"/>
  <c r="D4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121" i="13"/>
  <c r="D122" i="13"/>
  <c r="D123" i="13"/>
  <c r="D124" i="13"/>
  <c r="D125" i="13"/>
  <c r="D126" i="13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D421" i="11"/>
  <c r="D422" i="11"/>
  <c r="D423" i="11"/>
  <c r="D424" i="11"/>
  <c r="D425" i="11"/>
  <c r="D426" i="11"/>
  <c r="D427" i="11"/>
  <c r="D428" i="11"/>
  <c r="D429" i="11"/>
  <c r="D430" i="11"/>
  <c r="D431" i="11"/>
  <c r="D432" i="11"/>
  <c r="D433" i="11"/>
  <c r="D434" i="11"/>
  <c r="D435" i="11"/>
  <c r="D436" i="11"/>
  <c r="D437" i="11"/>
  <c r="D438" i="11"/>
  <c r="D439" i="11"/>
  <c r="D440" i="11"/>
  <c r="D441" i="11"/>
  <c r="D442" i="11"/>
  <c r="D443" i="11"/>
  <c r="D444" i="11"/>
  <c r="D445" i="11"/>
  <c r="D446" i="11"/>
  <c r="D447" i="11"/>
  <c r="D448" i="11"/>
  <c r="D449" i="11"/>
  <c r="D450" i="11"/>
  <c r="D451" i="11"/>
  <c r="D452" i="11"/>
  <c r="D453" i="11"/>
  <c r="D454" i="11"/>
  <c r="D455" i="11"/>
  <c r="D456" i="11"/>
  <c r="D457" i="11"/>
  <c r="D458" i="11"/>
  <c r="D459" i="11"/>
  <c r="D460" i="11"/>
  <c r="D461" i="11"/>
  <c r="D462" i="11"/>
  <c r="D463" i="11"/>
  <c r="D464" i="11"/>
  <c r="D465" i="11"/>
  <c r="D466" i="11"/>
  <c r="D467" i="11"/>
  <c r="D468" i="11"/>
  <c r="D469" i="11"/>
  <c r="D470" i="11"/>
  <c r="D471" i="11"/>
  <c r="D472" i="11"/>
  <c r="D473" i="11"/>
  <c r="D474" i="11"/>
  <c r="D475" i="11"/>
  <c r="D476" i="11"/>
  <c r="D477" i="11"/>
  <c r="D478" i="11"/>
  <c r="D479" i="11"/>
  <c r="D480" i="11"/>
  <c r="D481" i="11"/>
  <c r="D482" i="11"/>
  <c r="D483" i="11"/>
  <c r="D484" i="11"/>
  <c r="D485" i="11"/>
  <c r="D486" i="11"/>
  <c r="D487" i="11"/>
  <c r="D488" i="11"/>
  <c r="D489" i="11"/>
  <c r="D490" i="11"/>
  <c r="D491" i="11"/>
  <c r="D492" i="11"/>
  <c r="D493" i="11"/>
  <c r="D494" i="11"/>
  <c r="D495" i="11"/>
  <c r="D496" i="11"/>
  <c r="D497" i="11"/>
  <c r="D498" i="11"/>
  <c r="D499" i="11"/>
  <c r="D500" i="11"/>
  <c r="D501" i="11"/>
  <c r="D502" i="11"/>
  <c r="D503" i="11"/>
  <c r="D504" i="11"/>
  <c r="D505" i="11"/>
  <c r="D506" i="11"/>
  <c r="D507" i="11"/>
  <c r="D508" i="11"/>
  <c r="D509" i="11"/>
  <c r="D510" i="11"/>
  <c r="D511" i="11"/>
  <c r="D512" i="11"/>
  <c r="D513" i="11"/>
  <c r="D514" i="11"/>
  <c r="D515" i="11"/>
  <c r="D516" i="11"/>
  <c r="D517" i="11"/>
  <c r="D518" i="11"/>
  <c r="D519" i="11"/>
  <c r="D520" i="11"/>
  <c r="D521" i="11"/>
  <c r="D522" i="11"/>
  <c r="D523" i="11"/>
  <c r="D524" i="11"/>
  <c r="D525" i="11"/>
  <c r="D526" i="11"/>
  <c r="D527" i="11"/>
  <c r="D528" i="11"/>
  <c r="D529" i="11"/>
  <c r="D530" i="11"/>
  <c r="D531" i="11"/>
  <c r="D532" i="11"/>
  <c r="D533" i="11"/>
  <c r="D534" i="11"/>
  <c r="D535" i="11"/>
  <c r="D536" i="11"/>
  <c r="D537" i="11"/>
  <c r="D538" i="11"/>
  <c r="D539" i="11"/>
  <c r="D540" i="11"/>
  <c r="D541" i="11"/>
  <c r="D542" i="11"/>
  <c r="D543" i="11"/>
  <c r="D544" i="11"/>
  <c r="D545" i="11"/>
  <c r="D546" i="11"/>
  <c r="D547" i="11"/>
  <c r="D548" i="11"/>
  <c r="D549" i="11"/>
  <c r="D550" i="11"/>
  <c r="D551" i="11"/>
  <c r="D552" i="11"/>
  <c r="D553" i="11"/>
  <c r="D554" i="11"/>
  <c r="D555" i="11"/>
  <c r="D556" i="11"/>
  <c r="D557" i="11"/>
  <c r="D558" i="11"/>
  <c r="D559" i="11"/>
  <c r="D560" i="11"/>
  <c r="D561" i="11"/>
  <c r="D562" i="11"/>
  <c r="D563" i="11"/>
  <c r="D564" i="11"/>
  <c r="D565" i="11"/>
  <c r="D566" i="11"/>
  <c r="D567" i="11"/>
  <c r="D568" i="11"/>
  <c r="D569" i="11"/>
  <c r="D570" i="11"/>
  <c r="D571" i="11"/>
  <c r="D572" i="11"/>
  <c r="D573" i="11"/>
  <c r="D574" i="11"/>
  <c r="D575" i="11"/>
  <c r="D576" i="11"/>
  <c r="D577" i="11"/>
  <c r="D578" i="11"/>
  <c r="D579" i="11"/>
  <c r="D580" i="11"/>
  <c r="D581" i="11"/>
  <c r="D582" i="11"/>
  <c r="D583" i="11"/>
  <c r="D584" i="11"/>
  <c r="D585" i="11"/>
  <c r="D586" i="11"/>
  <c r="D587" i="11"/>
  <c r="D588" i="11"/>
  <c r="D589" i="11"/>
  <c r="D590" i="11"/>
  <c r="D591" i="11"/>
  <c r="D592" i="11"/>
  <c r="D593" i="11"/>
  <c r="D594" i="11"/>
  <c r="D595" i="11"/>
  <c r="D596" i="11"/>
  <c r="D597" i="11"/>
  <c r="D598" i="11"/>
  <c r="D599" i="11"/>
  <c r="D600" i="11"/>
  <c r="D601" i="11"/>
  <c r="D602" i="11"/>
  <c r="D603" i="11"/>
  <c r="D604" i="11"/>
  <c r="D605" i="11"/>
  <c r="D606" i="11"/>
  <c r="D607" i="11"/>
  <c r="D608" i="11"/>
  <c r="D609" i="11"/>
  <c r="D610" i="11"/>
  <c r="D611" i="11"/>
  <c r="D612" i="11"/>
  <c r="D613" i="11"/>
  <c r="D614" i="11"/>
  <c r="D615" i="11"/>
  <c r="D616" i="11"/>
  <c r="D617" i="11"/>
  <c r="D618" i="11"/>
  <c r="D619" i="11"/>
  <c r="D620" i="11"/>
  <c r="D621" i="11"/>
  <c r="D622" i="11"/>
  <c r="D623" i="11"/>
  <c r="D624" i="11"/>
  <c r="D625" i="11"/>
  <c r="D626" i="11"/>
  <c r="D627" i="11"/>
  <c r="D628" i="11"/>
  <c r="D629" i="11"/>
  <c r="D630" i="11"/>
  <c r="D631" i="11"/>
  <c r="D632" i="11"/>
  <c r="D633" i="11"/>
  <c r="D634" i="11"/>
  <c r="D635" i="11"/>
  <c r="D636" i="11"/>
  <c r="D637" i="11"/>
  <c r="D638" i="11"/>
  <c r="E420" i="11"/>
  <c r="D420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3D4DDD-7C18-46E6-84AE-5A73172BBD1B}" keepAlive="1" name="Query - K10-3 5y" description="Connection to the 'K10-3 5y' query in the workbook." type="5" refreshedVersion="8" background="1" saveData="1">
    <dbPr connection="Provider=Microsoft.Mashup.OleDb.1;Data Source=$Workbook$;Location=&quot;K10-3 5y&quot;;Extended Properties=&quot;&quot;" command="SELECT * FROM [K10-3 5y]"/>
  </connection>
  <connection id="2" xr16:uid="{2CDB542D-2C00-4BE0-BC79-43EFAE37E09F}" keepAlive="1" name="Query - K11 3 5Y" description="Connection to the 'K11 3 5Y' query in the workbook." type="5" refreshedVersion="8" background="1" saveData="1">
    <dbPr connection="Provider=Microsoft.Mashup.OleDb.1;Data Source=$Workbook$;Location=&quot;K11 3 5Y&quot;;Extended Properties=&quot;&quot;" command="SELECT * FROM [K11 3 5Y]"/>
  </connection>
  <connection id="3" xr16:uid="{4DF95390-365B-45C3-A627-78069FD5F1A8}" keepAlive="1" name="Query - K25 &amp; K9" description="Connection to the 'K25 &amp; K9' query in the workbook." type="5" refreshedVersion="8" background="1" saveData="1">
    <dbPr connection="Provider=Microsoft.Mashup.OleDb.1;Data Source=$Workbook$;Location=&quot;K25 &amp; K9&quot;;Extended Properties=&quot;&quot;" command="SELECT * FROM [K25 &amp; K9]"/>
  </connection>
  <connection id="4" xr16:uid="{12158884-EEBD-48E1-8B1F-2F236BC04155}" keepAlive="1" name="Query - K26" description="Connection to the 'K26' query in the workbook." type="5" refreshedVersion="8" background="1" saveData="1">
    <dbPr connection="Provider=Microsoft.Mashup.OleDb.1;Data Source=$Workbook$;Location=K26;Extended Properties=&quot;&quot;" command="SELECT * FROM [K26]"/>
  </connection>
  <connection id="5" xr16:uid="{83375B25-33CE-45EA-A8B8-1C0436E6A49F}" keepAlive="1" name="Query - K26 (2)" description="Connection to the 'K26 (2)' query in the workbook." type="5" refreshedVersion="8" background="1" saveData="1">
    <dbPr connection="Provider=Microsoft.Mashup.OleDb.1;Data Source=$Workbook$;Location=&quot;K26 (2)&quot;;Extended Properties=&quot;&quot;" command="SELECT * FROM [K26 (2)]"/>
  </connection>
  <connection id="6" xr16:uid="{05A32226-EAE5-49E2-9018-6F9356A3EFD0}" keepAlive="1" name="Query - K26-K10" description="Connection to the 'K26-K10' query in the workbook." type="5" refreshedVersion="8" background="1" saveData="1">
    <dbPr connection="Provider=Microsoft.Mashup.OleDb.1;Data Source=$Workbook$;Location=K26-K10;Extended Properties=&quot;&quot;" command="SELECT * FROM [K26-K10]"/>
  </connection>
  <connection id="7" xr16:uid="{882DE8E8-0B3C-4C84-B836-F700ACDD3AB0}" keepAlive="1" name="Query - K27" description="Connection to the 'K27' query in the workbook." type="5" refreshedVersion="8" background="1" saveData="1">
    <dbPr connection="Provider=Microsoft.Mashup.OleDb.1;Data Source=$Workbook$;Location=K27;Extended Properties=&quot;&quot;" command="SELECT * FROM [K27]"/>
  </connection>
  <connection id="8" xr16:uid="{40176BF9-D188-418E-96EA-609B8DFE9CCB}" keepAlive="1" name="Query - K27-K11" description="Connection to the 'K27-K11' query in the workbook." type="5" refreshedVersion="8" background="1" saveData="1">
    <dbPr connection="Provider=Microsoft.Mashup.OleDb.1;Data Source=$Workbook$;Location=K27-K11;Extended Properties=&quot;&quot;" command="SELECT * FROM [K27-K11]"/>
  </connection>
  <connection id="9" xr16:uid="{67037C22-6EA4-4DE0-AD94-348202994F1B}" keepAlive="1" name="Query - K28" description="Connection to the 'K28' query in the workbook." type="5" refreshedVersion="8" background="1" saveData="1">
    <dbPr connection="Provider=Microsoft.Mashup.OleDb.1;Data Source=$Workbook$;Location=K28;Extended Properties=&quot;&quot;" command="SELECT * FROM [K28]"/>
  </connection>
  <connection id="10" xr16:uid="{9EEDBD74-5114-4D98-A2BD-0CC6B343775F}" keepAlive="1" name="Query - K28-K12" description="Connection to the 'K28-K12' query in the workbook." type="5" refreshedVersion="8" background="1" saveData="1">
    <dbPr connection="Provider=Microsoft.Mashup.OleDb.1;Data Source=$Workbook$;Location=K28-K12;Extended Properties=&quot;&quot;" command="SELECT * FROM [K28-K12]"/>
  </connection>
  <connection id="11" xr16:uid="{ADE57BAC-A956-459F-BE12-1392D649106B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12" xr16:uid="{7C825AF6-FB52-4860-9056-F164148E4F14}" keepAlive="1" name="Query - Parameter10" description="Connection to the 'Parameter10' query in the workbook." type="5" refreshedVersion="0" background="1">
    <dbPr connection="Provider=Microsoft.Mashup.OleDb.1;Data Source=$Workbook$;Location=Parameter10;Extended Properties=&quot;&quot;" command="SELECT * FROM [Parameter10]"/>
  </connection>
  <connection id="13" xr16:uid="{A285CF8E-6619-472D-B27B-F57FBFCDBE71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14" xr16:uid="{7EC58243-D38C-4C80-A212-1556E84469E8}" keepAlive="1" name="Query - Parameter3" description="Connection to the 'Parameter3' query in the workbook." type="5" refreshedVersion="0" background="1">
    <dbPr connection="Provider=Microsoft.Mashup.OleDb.1;Data Source=$Workbook$;Location=Parameter3;Extended Properties=&quot;&quot;" command="SELECT * FROM [Parameter3]"/>
  </connection>
  <connection id="15" xr16:uid="{B07763BE-0AEE-4F0D-95FB-2D6A7FC4FF6C}" keepAlive="1" name="Query - Parameter4" description="Connection to the 'Parameter4' query in the workbook." type="5" refreshedVersion="0" background="1">
    <dbPr connection="Provider=Microsoft.Mashup.OleDb.1;Data Source=$Workbook$;Location=Parameter4;Extended Properties=&quot;&quot;" command="SELECT * FROM [Parameter4]"/>
  </connection>
  <connection id="16" xr16:uid="{2F9B7E56-4516-4EB7-A113-C376A10C80F1}" keepAlive="1" name="Query - Parameter5" description="Connection to the 'Parameter5' query in the workbook." type="5" refreshedVersion="0" background="1">
    <dbPr connection="Provider=Microsoft.Mashup.OleDb.1;Data Source=$Workbook$;Location=Parameter5;Extended Properties=&quot;&quot;" command="SELECT * FROM [Parameter5]"/>
  </connection>
  <connection id="17" xr16:uid="{E0042B94-EE04-49DE-905C-8C86AA7F20AF}" keepAlive="1" name="Query - Parameter6" description="Connection to the 'Parameter6' query in the workbook." type="5" refreshedVersion="0" background="1">
    <dbPr connection="Provider=Microsoft.Mashup.OleDb.1;Data Source=$Workbook$;Location=Parameter6;Extended Properties=&quot;&quot;" command="SELECT * FROM [Parameter6]"/>
  </connection>
  <connection id="18" xr16:uid="{E9D31D4C-0D05-426F-9114-9B03EA13A6C4}" keepAlive="1" name="Query - Parameter7" description="Connection to the 'Parameter7' query in the workbook." type="5" refreshedVersion="0" background="1">
    <dbPr connection="Provider=Microsoft.Mashup.OleDb.1;Data Source=$Workbook$;Location=Parameter7;Extended Properties=&quot;&quot;" command="SELECT * FROM [Parameter7]"/>
  </connection>
  <connection id="19" xr16:uid="{697A75DA-AFB0-48E6-BED5-D0DB2C127B06}" keepAlive="1" name="Query - Parameter8" description="Connection to the 'Parameter8' query in the workbook." type="5" refreshedVersion="0" background="1">
    <dbPr connection="Provider=Microsoft.Mashup.OleDb.1;Data Source=$Workbook$;Location=Parameter8;Extended Properties=&quot;&quot;" command="SELECT * FROM [Parameter8]"/>
  </connection>
  <connection id="20" xr16:uid="{54B2F447-330D-427D-9B35-8AD2278A3C45}" keepAlive="1" name="Query - Parameter9" description="Connection to the 'Parameter9' query in the workbook." type="5" refreshedVersion="0" background="1">
    <dbPr connection="Provider=Microsoft.Mashup.OleDb.1;Data Source=$Workbook$;Location=Parameter9;Extended Properties=&quot;&quot;" command="SELECT * FROM [Parameter9]"/>
  </connection>
  <connection id="21" xr16:uid="{0748E567-509D-41FB-B046-665DF3769C68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22" xr16:uid="{B49605C9-D81C-4C04-AAB6-38F907B7AAE5}" keepAlive="1" name="Query - Sample File (10)" description="Connection to the 'Sample File (10)' query in the workbook." type="5" refreshedVersion="0" background="1">
    <dbPr connection="Provider=Microsoft.Mashup.OleDb.1;Data Source=$Workbook$;Location=&quot;Sample File (10)&quot;;Extended Properties=&quot;&quot;" command="SELECT * FROM [Sample File (10)]"/>
  </connection>
  <connection id="23" xr16:uid="{21A6C3FD-FB9E-43B9-A586-E34752B7912D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24" xr16:uid="{49A08F05-7060-49EE-85B9-FD1CA659C763}" keepAlive="1" name="Query - Sample File (3)" description="Connection to the 'Sample File (3)' query in the workbook." type="5" refreshedVersion="0" background="1">
    <dbPr connection="Provider=Microsoft.Mashup.OleDb.1;Data Source=$Workbook$;Location=&quot;Sample File (3)&quot;;Extended Properties=&quot;&quot;" command="SELECT * FROM [Sample File (3)]"/>
  </connection>
  <connection id="25" xr16:uid="{0B930FE1-3618-4204-BE66-C6BCE11CBB1A}" keepAlive="1" name="Query - Sample File (4)" description="Connection to the 'Sample File (4)' query in the workbook." type="5" refreshedVersion="0" background="1">
    <dbPr connection="Provider=Microsoft.Mashup.OleDb.1;Data Source=$Workbook$;Location=&quot;Sample File (4)&quot;;Extended Properties=&quot;&quot;" command="SELECT * FROM [Sample File (4)]"/>
  </connection>
  <connection id="26" xr16:uid="{9476EE3B-97C3-4E51-B983-E93FD0877E3D}" keepAlive="1" name="Query - Sample File (5)" description="Connection to the 'Sample File (5)' query in the workbook." type="5" refreshedVersion="0" background="1">
    <dbPr connection="Provider=Microsoft.Mashup.OleDb.1;Data Source=$Workbook$;Location=&quot;Sample File (5)&quot;;Extended Properties=&quot;&quot;" command="SELECT * FROM [Sample File (5)]"/>
  </connection>
  <connection id="27" xr16:uid="{9674A4E4-9844-47D0-B05A-CD490162AD66}" keepAlive="1" name="Query - Sample File (6)" description="Connection to the 'Sample File (6)' query in the workbook." type="5" refreshedVersion="0" background="1">
    <dbPr connection="Provider=Microsoft.Mashup.OleDb.1;Data Source=$Workbook$;Location=&quot;Sample File (6)&quot;;Extended Properties=&quot;&quot;" command="SELECT * FROM [Sample File (6)]"/>
  </connection>
  <connection id="28" xr16:uid="{15C7CD8C-A7B8-4E1D-8710-26EBD03DB38B}" keepAlive="1" name="Query - Sample File (7)" description="Connection to the 'Sample File (7)' query in the workbook." type="5" refreshedVersion="0" background="1">
    <dbPr connection="Provider=Microsoft.Mashup.OleDb.1;Data Source=$Workbook$;Location=&quot;Sample File (7)&quot;;Extended Properties=&quot;&quot;" command="SELECT * FROM [Sample File (7)]"/>
  </connection>
  <connection id="29" xr16:uid="{BA5B5942-543D-4567-964A-64637930164B}" keepAlive="1" name="Query - Sample File (8)" description="Connection to the 'Sample File (8)' query in the workbook." type="5" refreshedVersion="0" background="1">
    <dbPr connection="Provider=Microsoft.Mashup.OleDb.1;Data Source=$Workbook$;Location=&quot;Sample File (8)&quot;;Extended Properties=&quot;&quot;" command="SELECT * FROM [Sample File (8)]"/>
  </connection>
  <connection id="30" xr16:uid="{93EEF212-D848-4B9C-8501-ED04E2C10CE6}" keepAlive="1" name="Query - Sample File (9)" description="Connection to the 'Sample File (9)' query in the workbook." type="5" refreshedVersion="0" background="1">
    <dbPr connection="Provider=Microsoft.Mashup.OleDb.1;Data Source=$Workbook$;Location=&quot;Sample File (9)&quot;;Extended Properties=&quot;&quot;" command="SELECT * FROM [Sample File (9)]"/>
  </connection>
  <connection id="31" xr16:uid="{0E5D9353-69CE-4AF0-88E9-C3C5F610873E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32" xr16:uid="{2BF2EB70-3CB0-469E-A9C6-CBCEC29D3C19}" keepAlive="1" name="Query - Transform File (10)" description="Connection to the 'Transform File (10)' query in the workbook." type="5" refreshedVersion="0" background="1">
    <dbPr connection="Provider=Microsoft.Mashup.OleDb.1;Data Source=$Workbook$;Location=&quot;Transform File (10)&quot;;Extended Properties=&quot;&quot;" command="SELECT * FROM [Transform File (10)]"/>
  </connection>
  <connection id="33" xr16:uid="{8892B9FE-32C2-4370-80F3-4AD21B3771A9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34" xr16:uid="{1E90C958-C8B0-4838-BECC-824A84BE05B2}" keepAlive="1" name="Query - Transform File (3)" description="Connection to the 'Transform File (3)' query in the workbook." type="5" refreshedVersion="0" background="1">
    <dbPr connection="Provider=Microsoft.Mashup.OleDb.1;Data Source=$Workbook$;Location=&quot;Transform File (3)&quot;;Extended Properties=&quot;&quot;" command="SELECT * FROM [Transform File (3)]"/>
  </connection>
  <connection id="35" xr16:uid="{36978404-039F-4339-8E93-C4FC3264D7C2}" keepAlive="1" name="Query - Transform File (4)" description="Connection to the 'Transform File (4)' query in the workbook." type="5" refreshedVersion="0" background="1">
    <dbPr connection="Provider=Microsoft.Mashup.OleDb.1;Data Source=$Workbook$;Location=&quot;Transform File (4)&quot;;Extended Properties=&quot;&quot;" command="SELECT * FROM [Transform File (4)]"/>
  </connection>
  <connection id="36" xr16:uid="{99F957B9-B5F3-4F6C-BF3D-6D3B2870403B}" keepAlive="1" name="Query - Transform File (5)" description="Connection to the 'Transform File (5)' query in the workbook." type="5" refreshedVersion="0" background="1">
    <dbPr connection="Provider=Microsoft.Mashup.OleDb.1;Data Source=$Workbook$;Location=&quot;Transform File (5)&quot;;Extended Properties=&quot;&quot;" command="SELECT * FROM [Transform File (5)]"/>
  </connection>
  <connection id="37" xr16:uid="{CCCC3265-9C3A-4BD6-A044-9ACDDB034930}" keepAlive="1" name="Query - Transform File (6)" description="Connection to the 'Transform File (6)' query in the workbook." type="5" refreshedVersion="0" background="1">
    <dbPr connection="Provider=Microsoft.Mashup.OleDb.1;Data Source=$Workbook$;Location=&quot;Transform File (6)&quot;;Extended Properties=&quot;&quot;" command="SELECT * FROM [Transform File (6)]"/>
  </connection>
  <connection id="38" xr16:uid="{2D19837C-619E-408D-80C2-2948ED2FAB4F}" keepAlive="1" name="Query - Transform File (7)" description="Connection to the 'Transform File (7)' query in the workbook." type="5" refreshedVersion="0" background="1">
    <dbPr connection="Provider=Microsoft.Mashup.OleDb.1;Data Source=$Workbook$;Location=&quot;Transform File (7)&quot;;Extended Properties=&quot;&quot;" command="SELECT * FROM [Transform File (7)]"/>
  </connection>
  <connection id="39" xr16:uid="{C8A55BCE-9419-496B-9F81-A452801D10B9}" keepAlive="1" name="Query - Transform File (8)" description="Connection to the 'Transform File (8)' query in the workbook." type="5" refreshedVersion="0" background="1">
    <dbPr connection="Provider=Microsoft.Mashup.OleDb.1;Data Source=$Workbook$;Location=&quot;Transform File (8)&quot;;Extended Properties=&quot;&quot;" command="SELECT * FROM [Transform File (8)]"/>
  </connection>
  <connection id="40" xr16:uid="{507BF38D-91F4-4FBC-A879-5D14DB75E646}" keepAlive="1" name="Query - Transform File (9)" description="Connection to the 'Transform File (9)' query in the workbook." type="5" refreshedVersion="0" background="1">
    <dbPr connection="Provider=Microsoft.Mashup.OleDb.1;Data Source=$Workbook$;Location=&quot;Transform File (9)&quot;;Extended Properties=&quot;&quot;" command="SELECT * FROM [Transform File (9)]"/>
  </connection>
  <connection id="41" xr16:uid="{0450A953-6208-4D5B-896D-18F919D0AFC0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42" xr16:uid="{00615F8B-F343-4197-ADF3-5B5D4728C9C2}" keepAlive="1" name="Query - Transform Sample File (10)" description="Connection to the 'Transform Sample File (10)' query in the workbook." type="5" refreshedVersion="0" background="1">
    <dbPr connection="Provider=Microsoft.Mashup.OleDb.1;Data Source=$Workbook$;Location=&quot;Transform Sample File (10)&quot;;Extended Properties=&quot;&quot;" command="SELECT * FROM [Transform Sample File (10)]"/>
  </connection>
  <connection id="43" xr16:uid="{195B618D-0AFD-42CB-AF04-A8C027240B98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  <connection id="44" xr16:uid="{A6E556F1-4C09-4D5E-A413-C1F4BAA1A52B}" keepAlive="1" name="Query - Transform Sample File (3)" description="Connection to the 'Transform Sample File (3)' query in the workbook." type="5" refreshedVersion="0" background="1">
    <dbPr connection="Provider=Microsoft.Mashup.OleDb.1;Data Source=$Workbook$;Location=&quot;Transform Sample File (3)&quot;;Extended Properties=&quot;&quot;" command="SELECT * FROM [Transform Sample File (3)]"/>
  </connection>
  <connection id="45" xr16:uid="{691A9F9B-D4F1-4018-91CD-6B9A84D9AE8A}" keepAlive="1" name="Query - Transform Sample File (4)" description="Connection to the 'Transform Sample File (4)' query in the workbook." type="5" refreshedVersion="0" background="1">
    <dbPr connection="Provider=Microsoft.Mashup.OleDb.1;Data Source=$Workbook$;Location=&quot;Transform Sample File (4)&quot;;Extended Properties=&quot;&quot;" command="SELECT * FROM [Transform Sample File (4)]"/>
  </connection>
  <connection id="46" xr16:uid="{E8EE9C33-9904-4D66-98A9-27E7E9397174}" keepAlive="1" name="Query - Transform Sample File (5)" description="Connection to the 'Transform Sample File (5)' query in the workbook." type="5" refreshedVersion="0" background="1">
    <dbPr connection="Provider=Microsoft.Mashup.OleDb.1;Data Source=$Workbook$;Location=&quot;Transform Sample File (5)&quot;;Extended Properties=&quot;&quot;" command="SELECT * FROM [Transform Sample File (5)]"/>
  </connection>
  <connection id="47" xr16:uid="{9E0F6701-63E0-4905-AF67-1E23D82F7CDF}" keepAlive="1" name="Query - Transform Sample File (6)" description="Connection to the 'Transform Sample File (6)' query in the workbook." type="5" refreshedVersion="0" background="1">
    <dbPr connection="Provider=Microsoft.Mashup.OleDb.1;Data Source=$Workbook$;Location=&quot;Transform Sample File (6)&quot;;Extended Properties=&quot;&quot;" command="SELECT * FROM [Transform Sample File (6)]"/>
  </connection>
  <connection id="48" xr16:uid="{ACF26828-AC03-471C-9C3A-898EABA40FA0}" keepAlive="1" name="Query - Transform Sample File (7)" description="Connection to the 'Transform Sample File (7)' query in the workbook." type="5" refreshedVersion="0" background="1">
    <dbPr connection="Provider=Microsoft.Mashup.OleDb.1;Data Source=$Workbook$;Location=&quot;Transform Sample File (7)&quot;;Extended Properties=&quot;&quot;" command="SELECT * FROM [Transform Sample File (7)]"/>
  </connection>
  <connection id="49" xr16:uid="{1A7481D9-531F-4ABD-A5B6-AD8AE8BEEF88}" keepAlive="1" name="Query - Transform Sample File (8)" description="Connection to the 'Transform Sample File (8)' query in the workbook." type="5" refreshedVersion="0" background="1">
    <dbPr connection="Provider=Microsoft.Mashup.OleDb.1;Data Source=$Workbook$;Location=&quot;Transform Sample File (8)&quot;;Extended Properties=&quot;&quot;" command="SELECT * FROM [Transform Sample File (8)]"/>
  </connection>
  <connection id="50" xr16:uid="{B0DDEF2F-CEB0-442D-9284-B54BF974DB57}" keepAlive="1" name="Query - Transform Sample File (9)" description="Connection to the 'Transform Sample File (9)' query in the workbook." type="5" refreshedVersion="0" background="1">
    <dbPr connection="Provider=Microsoft.Mashup.OleDb.1;Data Source=$Workbook$;Location=&quot;Transform Sample File (9)&quot;;Extended Properties=&quot;&quot;" command="SELECT * FROM [Transform Sample File (9)]"/>
  </connection>
</connections>
</file>

<file path=xl/sharedStrings.xml><?xml version="1.0" encoding="utf-8"?>
<sst xmlns="http://schemas.openxmlformats.org/spreadsheetml/2006/main" count="5949" uniqueCount="904">
  <si>
    <t>CNTC.xls</t>
  </si>
  <si>
    <t>SPT02A</t>
  </si>
  <si>
    <t>Giáo dục thể chất I (Đại cương) (*)</t>
  </si>
  <si>
    <t>ENG01A</t>
  </si>
  <si>
    <t>Tiếng Anh I</t>
  </si>
  <si>
    <t>X</t>
  </si>
  <si>
    <t>IS52A</t>
  </si>
  <si>
    <t>Năng lực số ứng dụng</t>
  </si>
  <si>
    <t>MAT13A</t>
  </si>
  <si>
    <t>Giải tích</t>
  </si>
  <si>
    <t>PLT07A</t>
  </si>
  <si>
    <t>Triết học Mác - Lênin</t>
  </si>
  <si>
    <t>ECO02A</t>
  </si>
  <si>
    <t>Kinh tế vĩ mô</t>
  </si>
  <si>
    <t>0301 (2TC)</t>
  </si>
  <si>
    <t>ECO01A</t>
  </si>
  <si>
    <t>Kinh tế vi mô</t>
  </si>
  <si>
    <t>ENG02A</t>
  </si>
  <si>
    <t>Tiếng Anh II</t>
  </si>
  <si>
    <t>MAT14A</t>
  </si>
  <si>
    <t>Xác suất và thống kê</t>
  </si>
  <si>
    <t>PLT08A</t>
  </si>
  <si>
    <t>Kinh tế chính trị Mác - Lênin</t>
  </si>
  <si>
    <t>Chủ nghĩa xã hội khoa học</t>
  </si>
  <si>
    <t>ACT01A</t>
  </si>
  <si>
    <t>Nguyên lý kế toán</t>
  </si>
  <si>
    <t>IS63A</t>
  </si>
  <si>
    <t>Quản lý và khai thác dữ liệu căn bản</t>
  </si>
  <si>
    <t>LAW02A</t>
  </si>
  <si>
    <t>Luật kinh tế</t>
  </si>
  <si>
    <t>MAT12A</t>
  </si>
  <si>
    <t>Đại số tuyến tính</t>
  </si>
  <si>
    <t>MGT36A</t>
  </si>
  <si>
    <t>Đổi mới sáng tạo và khởi nghiệp</t>
  </si>
  <si>
    <t>PLT10A</t>
  </si>
  <si>
    <t>Lịch sử Đảng Cộng sản Việt Nam</t>
  </si>
  <si>
    <t>ENG03A</t>
  </si>
  <si>
    <t>Tiếng Anh III</t>
  </si>
  <si>
    <t>FIN02A</t>
  </si>
  <si>
    <t>Tài chính doanh nghiệp I</t>
  </si>
  <si>
    <t>FIN17A</t>
  </si>
  <si>
    <t>Ngân hàng thương mại</t>
  </si>
  <si>
    <t>PLT06A</t>
  </si>
  <si>
    <t>Tư tưởng Hồ Chí Minh</t>
  </si>
  <si>
    <t>ECO24A</t>
  </si>
  <si>
    <t>Kinh tế lượng trong tài chính</t>
  </si>
  <si>
    <t>ENG04A</t>
  </si>
  <si>
    <t>Tiếng Anh IV</t>
  </si>
  <si>
    <t>IS61A</t>
  </si>
  <si>
    <t>Phân tích dữ liệu kinh doanh</t>
  </si>
  <si>
    <t>MGT01A</t>
  </si>
  <si>
    <t>Quản trị học</t>
  </si>
  <si>
    <t>MIS08A</t>
  </si>
  <si>
    <t>Phân tích thiết kế hệ thống</t>
  </si>
  <si>
    <t>FIN07A</t>
  </si>
  <si>
    <t>Bảo hiểm</t>
  </si>
  <si>
    <t>FIN102A</t>
  </si>
  <si>
    <t>Ngân hàng Trung Ương và chính sách tiền tệ</t>
  </si>
  <si>
    <t>FIN30A</t>
  </si>
  <si>
    <t>Tài chính công</t>
  </si>
  <si>
    <t>Phân tích dữ liệu trong tài chính - ngân hàng</t>
  </si>
  <si>
    <t>FIN25A</t>
  </si>
  <si>
    <t>Tài chính doanh nghiệp II</t>
  </si>
  <si>
    <t>FIN84A</t>
  </si>
  <si>
    <t>Đầu tư tài chính</t>
  </si>
  <si>
    <t>MIS02A</t>
  </si>
  <si>
    <t>Hệ thống thông tin quản lý</t>
  </si>
  <si>
    <t>0201 (3TC)</t>
  </si>
  <si>
    <t>CNTT.xls</t>
  </si>
  <si>
    <t>IS57A</t>
  </si>
  <si>
    <t>Nhập môn ngành Công nghệ thông tin</t>
  </si>
  <si>
    <t>LAW01A</t>
  </si>
  <si>
    <t>Pháp luật đại cương</t>
  </si>
  <si>
    <t>BUS20A</t>
  </si>
  <si>
    <t>Giao tiếp trong kinh doanh</t>
  </si>
  <si>
    <t>IS21A</t>
  </si>
  <si>
    <t>Cơ sở dữ liệu</t>
  </si>
  <si>
    <t>MAT05A</t>
  </si>
  <si>
    <t>Toán rời rạc</t>
  </si>
  <si>
    <t>IS28A</t>
  </si>
  <si>
    <t>Lập trình nâng cao với C</t>
  </si>
  <si>
    <t>0201 (2TC)</t>
  </si>
  <si>
    <t>IS29A</t>
  </si>
  <si>
    <t>Lập trình nâng cao với C++</t>
  </si>
  <si>
    <t>IS06A</t>
  </si>
  <si>
    <t>Mạng và truyền thông</t>
  </si>
  <si>
    <t>IS19A</t>
  </si>
  <si>
    <t>Thiết kế Web</t>
  </si>
  <si>
    <t>IS23A</t>
  </si>
  <si>
    <t>Khai phá và phân tích dữ liệu</t>
  </si>
  <si>
    <t>MIS07A</t>
  </si>
  <si>
    <t>Hệ quản trị Cơ sở dữ liệu</t>
  </si>
  <si>
    <t>0301 (3TC)</t>
  </si>
  <si>
    <t>0401 (3TC)</t>
  </si>
  <si>
    <t>HTTT.xls</t>
  </si>
  <si>
    <t>IS20A</t>
  </si>
  <si>
    <t>Nhập môn hệ thống thông tin</t>
  </si>
  <si>
    <t>ECO09A</t>
  </si>
  <si>
    <t>Kinh tế học</t>
  </si>
  <si>
    <t>MGT12A</t>
  </si>
  <si>
    <t>Hành vi tổ chức</t>
  </si>
  <si>
    <t>MKT21A</t>
  </si>
  <si>
    <t>Marketing</t>
  </si>
  <si>
    <t>IS35A</t>
  </si>
  <si>
    <t>Thương mại điện tử</t>
  </si>
  <si>
    <t>KDQT.xls</t>
  </si>
  <si>
    <t>FIN82A</t>
  </si>
  <si>
    <t>Tài chính - Tiền tệ</t>
  </si>
  <si>
    <t>Môi trường kinh doanh quốc tế</t>
  </si>
  <si>
    <t>Kinh tế quốc tế</t>
  </si>
  <si>
    <t>ACT26A</t>
  </si>
  <si>
    <t>Thống kê Kinh doanh</t>
  </si>
  <si>
    <t>BUS09A</t>
  </si>
  <si>
    <t>Chính sách thương mại quốc tế</t>
  </si>
  <si>
    <t>FIN03A</t>
  </si>
  <si>
    <t>Tài chính quốc tế</t>
  </si>
  <si>
    <t>MGT02A</t>
  </si>
  <si>
    <t>Quản trị doanh nghiệp</t>
  </si>
  <si>
    <t>MGT28A</t>
  </si>
  <si>
    <t>Chiến lược kinh doanh quốc tế</t>
  </si>
  <si>
    <t>ECO08A</t>
  </si>
  <si>
    <t>Kinh tế lượng</t>
  </si>
  <si>
    <t>FIN06A</t>
  </si>
  <si>
    <t>Thuế</t>
  </si>
  <si>
    <t>BUS01A</t>
  </si>
  <si>
    <t>Giao dịch thương mại quốc tế</t>
  </si>
  <si>
    <t>FIN53A</t>
  </si>
  <si>
    <t>Đầu tư quốc tế</t>
  </si>
  <si>
    <t>Thanh toán quốc tế</t>
  </si>
  <si>
    <t>KE TOAN.xls</t>
  </si>
  <si>
    <t>ACT02A</t>
  </si>
  <si>
    <t>Kế toán tài chính I</t>
  </si>
  <si>
    <t>Kế toán tài chính II</t>
  </si>
  <si>
    <t>ACT19A</t>
  </si>
  <si>
    <t>Kiểm toán tài chính I</t>
  </si>
  <si>
    <t>ACT47A</t>
  </si>
  <si>
    <t>Kế toán quản trị I</t>
  </si>
  <si>
    <t>ACT15A</t>
  </si>
  <si>
    <t>Kế toán thuế</t>
  </si>
  <si>
    <t>FIN104A</t>
  </si>
  <si>
    <t>Nguyên lý thẩm định giá tài sản</t>
  </si>
  <si>
    <t>Kế toán tài chính III</t>
  </si>
  <si>
    <t>Kế toán quản trị II</t>
  </si>
  <si>
    <t>FIN55A</t>
  </si>
  <si>
    <t>Phân tích tài chính doanh nghiệp I</t>
  </si>
  <si>
    <t>Kế toán quốc tế</t>
  </si>
  <si>
    <t>KTDT.xls</t>
  </si>
  <si>
    <t>ECO05A</t>
  </si>
  <si>
    <t>Kinh tế công cộng</t>
  </si>
  <si>
    <t>FIN27A</t>
  </si>
  <si>
    <t>Quản trị tài chính doanh nghiệp</t>
  </si>
  <si>
    <t>ECO04A</t>
  </si>
  <si>
    <t>Kinh tế phát triển</t>
  </si>
  <si>
    <t>ECO10A</t>
  </si>
  <si>
    <t>Kinh tế học quản lý</t>
  </si>
  <si>
    <t>ECO13A</t>
  </si>
  <si>
    <t>Kinh tế số</t>
  </si>
  <si>
    <t>ECO32A</t>
  </si>
  <si>
    <t>Kinh tế đầu tư 2</t>
  </si>
  <si>
    <t>LKT.xls</t>
  </si>
  <si>
    <t>LAW15A</t>
  </si>
  <si>
    <t>Lý luận nhà nước và pháp luật</t>
  </si>
  <si>
    <t>LAW48A</t>
  </si>
  <si>
    <t>Nhập môn Luật học</t>
  </si>
  <si>
    <t>LAW18A</t>
  </si>
  <si>
    <t>Luật dân sự I</t>
  </si>
  <si>
    <t>LAW28A</t>
  </si>
  <si>
    <t>Công pháp quốc tế</t>
  </si>
  <si>
    <t>LAW41A</t>
  </si>
  <si>
    <t>Luật hình sự I</t>
  </si>
  <si>
    <t>LAW24A</t>
  </si>
  <si>
    <t>Luật tố tụng dân sự</t>
  </si>
  <si>
    <t>LAW25A</t>
  </si>
  <si>
    <t>Luật tố tụng hình sự</t>
  </si>
  <si>
    <t>LAW29A</t>
  </si>
  <si>
    <t>Luật đất đai</t>
  </si>
  <si>
    <t>LAW44A</t>
  </si>
  <si>
    <t>Luật học so sánh</t>
  </si>
  <si>
    <t>LAW46A</t>
  </si>
  <si>
    <t>Luật thương mại II</t>
  </si>
  <si>
    <t>Luật ngân hàng</t>
  </si>
  <si>
    <t>MGT03A</t>
  </si>
  <si>
    <t>Quản trị nhân lực</t>
  </si>
  <si>
    <t>LAW06A</t>
  </si>
  <si>
    <t>Luật thương mại quốc tế</t>
  </si>
  <si>
    <t>LOG.xls</t>
  </si>
  <si>
    <t>NH.xls</t>
  </si>
  <si>
    <t>FIN13A</t>
  </si>
  <si>
    <t>Thị trường chứng khoán</t>
  </si>
  <si>
    <t>FIN93A</t>
  </si>
  <si>
    <t>Công cụ phái sinh</t>
  </si>
  <si>
    <t>MKT22A</t>
  </si>
  <si>
    <t>Marketing dịch vụ tài chính - ngân hàng</t>
  </si>
  <si>
    <t>ACT25A</t>
  </si>
  <si>
    <t>Hệ thống thanh toán</t>
  </si>
  <si>
    <t>FIN112A</t>
  </si>
  <si>
    <t>MGT35A</t>
  </si>
  <si>
    <t>Đạo đức nghề nghiệp và phát triển bền vững</t>
  </si>
  <si>
    <t>NHS.xls</t>
  </si>
  <si>
    <t>FIN119A</t>
  </si>
  <si>
    <t>Ngân hàng số và công nghệ tài chính</t>
  </si>
  <si>
    <t>Thực tế nghề nghiệp</t>
  </si>
  <si>
    <t>NNA.xls</t>
  </si>
  <si>
    <t>ECO49A</t>
  </si>
  <si>
    <t>ENG60A</t>
  </si>
  <si>
    <t>Ngữ âm</t>
  </si>
  <si>
    <t>Ngữ pháp ứng dụng</t>
  </si>
  <si>
    <t>ACT41A</t>
  </si>
  <si>
    <t>ENG08A</t>
  </si>
  <si>
    <t>Ngữ nghĩa từ vựng học</t>
  </si>
  <si>
    <t>ENG12A</t>
  </si>
  <si>
    <t>Nghe Nói II</t>
  </si>
  <si>
    <t>ENG57A</t>
  </si>
  <si>
    <t>Đọc Viết II</t>
  </si>
  <si>
    <t>ENG17A</t>
  </si>
  <si>
    <t>Kỹ năng Đọc có phân tích</t>
  </si>
  <si>
    <t>ENG33A</t>
  </si>
  <si>
    <t>Giao tiếp liên văn hóa</t>
  </si>
  <si>
    <t>ENG55A</t>
  </si>
  <si>
    <t>Biên dịch</t>
  </si>
  <si>
    <t>ENG65A</t>
  </si>
  <si>
    <t>Tiếng Anh chuyên ngành II</t>
  </si>
  <si>
    <t>MGT38A</t>
  </si>
  <si>
    <t>FIN42A</t>
  </si>
  <si>
    <t>FIN44A</t>
  </si>
  <si>
    <t>FIN47A</t>
  </si>
  <si>
    <t>MGT20A</t>
  </si>
  <si>
    <t>Phương pháp nghiên cứu khoa học</t>
  </si>
  <si>
    <t>QTDL.xls</t>
  </si>
  <si>
    <t>TRM01A</t>
  </si>
  <si>
    <t>Lịch sử văn hoá Việt Nam và thế giới</t>
  </si>
  <si>
    <t>TRM02A</t>
  </si>
  <si>
    <t>Tài nguyên du lịch</t>
  </si>
  <si>
    <t>TRM04A</t>
  </si>
  <si>
    <t>Tổng quan du lịch</t>
  </si>
  <si>
    <t>MGT37A</t>
  </si>
  <si>
    <t>Văn hoá doanh nghiệp</t>
  </si>
  <si>
    <t>MGT45A</t>
  </si>
  <si>
    <t>Quản trị thương hiệu</t>
  </si>
  <si>
    <t>MKT08A</t>
  </si>
  <si>
    <t>Hành vi tiêu dùng</t>
  </si>
  <si>
    <t>MGT04A</t>
  </si>
  <si>
    <t>Quản trị chiến lược</t>
  </si>
  <si>
    <t>QTKD.xls</t>
  </si>
  <si>
    <t>Marketing số</t>
  </si>
  <si>
    <t>Trí tuệ nhân tạo trong kinh doanh</t>
  </si>
  <si>
    <t>MGT60A</t>
  </si>
  <si>
    <t>Kỹ năng quản trị</t>
  </si>
  <si>
    <t>MKT05A</t>
  </si>
  <si>
    <t>Quản trị marketing</t>
  </si>
  <si>
    <t>Quản trị chuỗi cung ứng</t>
  </si>
  <si>
    <t>Nghiên cứu marketing</t>
  </si>
  <si>
    <t>TC.xls</t>
  </si>
  <si>
    <t>SPT07A_01</t>
  </si>
  <si>
    <t>Đường lối quốc phòng và an ninh của Đảng Cộng sản Việt Nam (*)</t>
  </si>
  <si>
    <t>SPT07A_02</t>
  </si>
  <si>
    <t>Công tác quốc phòng và an ninh (*)</t>
  </si>
  <si>
    <t>SPT07A_03</t>
  </si>
  <si>
    <t>Quân sự chung (*)</t>
  </si>
  <si>
    <t>SPT07A_04</t>
  </si>
  <si>
    <t>Kỹ thuật chiến đấu bộ binh và chiến thuật (*)</t>
  </si>
  <si>
    <t>MAT15A</t>
  </si>
  <si>
    <t>Toán dành cho kinh tế</t>
  </si>
  <si>
    <t>BUS36A</t>
  </si>
  <si>
    <t>Thương mại quốc tế</t>
  </si>
  <si>
    <t>MAT16A</t>
  </si>
  <si>
    <t>Phân tích định lượng trong kinh tế</t>
  </si>
  <si>
    <t>KIEM TOAN.xls</t>
  </si>
  <si>
    <t>K27KT</t>
  </si>
  <si>
    <t>K27KIT</t>
  </si>
  <si>
    <t>KHDL.xls</t>
  </si>
  <si>
    <t>DS01A</t>
  </si>
  <si>
    <t>Nhập môn khoa học dữ  liệu</t>
  </si>
  <si>
    <t>MKT.xls</t>
  </si>
  <si>
    <t>Văn hoá doanh nghiệp</t>
  </si>
  <si>
    <t>K28KTDT</t>
  </si>
  <si>
    <t>K28KIT</t>
  </si>
  <si>
    <t>SPT01H</t>
  </si>
  <si>
    <t>IS03H</t>
  </si>
  <si>
    <t>PLT01H</t>
  </si>
  <si>
    <t>BUS02H</t>
  </si>
  <si>
    <t>PLT02H</t>
  </si>
  <si>
    <t>ACT01H</t>
  </si>
  <si>
    <t>ECO01H</t>
  </si>
  <si>
    <t>ECO02H</t>
  </si>
  <si>
    <t>LAW01H</t>
  </si>
  <si>
    <t>PLT03H</t>
  </si>
  <si>
    <t>[PLT01H]Triết học Mác - Lênin</t>
  </si>
  <si>
    <t>SCM01H</t>
  </si>
  <si>
    <t>ACT02H</t>
  </si>
  <si>
    <t>[ACT01H]Nguyên lý kế toán</t>
  </si>
  <si>
    <t>ACT05H</t>
  </si>
  <si>
    <t>Thống kê kinh doanh</t>
  </si>
  <si>
    <t>[ECO02H]Kinh tế vĩ mô</t>
  </si>
  <si>
    <t>FIN22H</t>
  </si>
  <si>
    <t>LAW02H</t>
  </si>
  <si>
    <t>[LAW01H]Pháp luật đại cương</t>
  </si>
  <si>
    <t>MGT36H</t>
  </si>
  <si>
    <t>Đổi mới sáng tạo</t>
  </si>
  <si>
    <t>[ECO01H]Kinh tế vi mô</t>
  </si>
  <si>
    <t>MIS02H</t>
  </si>
  <si>
    <t>[IS03H]Năng lực số ứng dụng</t>
  </si>
  <si>
    <t>PLT04H</t>
  </si>
  <si>
    <t>PLT05H</t>
  </si>
  <si>
    <t>FIN01H</t>
  </si>
  <si>
    <t>[FIN22H]Tài chính - Tiền tệ</t>
  </si>
  <si>
    <t>MGT22H</t>
  </si>
  <si>
    <t>ACT13H</t>
  </si>
  <si>
    <t>ACT14H</t>
  </si>
  <si>
    <t>ACT15H</t>
  </si>
  <si>
    <t>ACT16H</t>
  </si>
  <si>
    <t>ACT29H</t>
  </si>
  <si>
    <t>Kiểm toán I</t>
  </si>
  <si>
    <t>ACT30H</t>
  </si>
  <si>
    <t>BUS03H</t>
  </si>
  <si>
    <t>FIN09H</t>
  </si>
  <si>
    <t>FIN104H</t>
  </si>
  <si>
    <t>FIN30H</t>
  </si>
  <si>
    <t>FIN31H</t>
  </si>
  <si>
    <t>IS02H</t>
  </si>
  <si>
    <t>ACT03H</t>
  </si>
  <si>
    <t>ACT04H</t>
  </si>
  <si>
    <t>FIN13H</t>
  </si>
  <si>
    <t>GRA23H</t>
  </si>
  <si>
    <t>ACT17H</t>
  </si>
  <si>
    <t>ACT18H</t>
  </si>
  <si>
    <t>ACT19H</t>
  </si>
  <si>
    <t>ACT20H</t>
  </si>
  <si>
    <t>ACT23H</t>
  </si>
  <si>
    <t>Kiểm toán II</t>
  </si>
  <si>
    <t>FIN02H</t>
  </si>
  <si>
    <t>FIN07H</t>
  </si>
  <si>
    <t>FIN28H</t>
  </si>
  <si>
    <t>MKT22H</t>
  </si>
  <si>
    <t>Marketing dịch vụ tài chính- ngân hàng</t>
  </si>
  <si>
    <t>ACT25H</t>
  </si>
  <si>
    <t>FIN04H</t>
  </si>
  <si>
    <t>FIN112H</t>
  </si>
  <si>
    <t>FIN11H</t>
  </si>
  <si>
    <t>Tín dụng ngân hàng</t>
  </si>
  <si>
    <t>FIN55H</t>
  </si>
  <si>
    <t>GRA21H</t>
  </si>
  <si>
    <t>MGT35H</t>
  </si>
  <si>
    <t>FIN102H</t>
  </si>
  <si>
    <t>Ngân hàng Trung ương và Chính sách tiền tệ</t>
  </si>
  <si>
    <t>FIN15H</t>
  </si>
  <si>
    <t>FIN32H</t>
  </si>
  <si>
    <t>Ngân hàng quốc tế</t>
  </si>
  <si>
    <t>MGT01H</t>
  </si>
  <si>
    <t>MKT05H</t>
  </si>
  <si>
    <t>ECO03H</t>
  </si>
  <si>
    <t>ECO04H</t>
  </si>
  <si>
    <t>MGT09H</t>
  </si>
  <si>
    <t>MGT12H</t>
  </si>
  <si>
    <t>MKT23H</t>
  </si>
  <si>
    <t>GRA24H</t>
  </si>
  <si>
    <t>MGT03H</t>
  </si>
  <si>
    <t>MGT04H</t>
  </si>
  <si>
    <t>MGT11H</t>
  </si>
  <si>
    <t>MKT01H</t>
  </si>
  <si>
    <t>MKT02H</t>
  </si>
  <si>
    <t>ECO07H</t>
  </si>
  <si>
    <t>Quản trị dự án</t>
  </si>
  <si>
    <t>MGT08H</t>
  </si>
  <si>
    <t>GRA22H</t>
  </si>
  <si>
    <t>FIN84H</t>
  </si>
  <si>
    <t>K10KT</t>
  </si>
  <si>
    <t>ENG07H</t>
  </si>
  <si>
    <t>Phát âm</t>
  </si>
  <si>
    <t>ENG11H</t>
  </si>
  <si>
    <t>Kỹ năng nghe</t>
  </si>
  <si>
    <t>MAT04H</t>
  </si>
  <si>
    <t>BUS07H</t>
  </si>
  <si>
    <t>MAT03H</t>
  </si>
  <si>
    <t>MGT28H</t>
  </si>
  <si>
    <t>[BUS07H]Môi trường kinh doanh quốc tế</t>
  </si>
  <si>
    <t>MAT16H</t>
  </si>
  <si>
    <t>BUS12H</t>
  </si>
  <si>
    <t>FIN42H</t>
  </si>
  <si>
    <t>Ngân hàng và tổ chức tài chính</t>
  </si>
  <si>
    <t>[MAT03H]Xác suất và thống kê</t>
  </si>
  <si>
    <t>0701 (3TC)</t>
  </si>
  <si>
    <t>MKTS.xls</t>
  </si>
  <si>
    <t>0601 (2TC)</t>
  </si>
  <si>
    <t>FIN116H</t>
  </si>
  <si>
    <t>MGT20H</t>
  </si>
  <si>
    <t>NHTCQT.xls</t>
  </si>
  <si>
    <t>FIN33H</t>
  </si>
  <si>
    <t>FIN43H</t>
  </si>
  <si>
    <t>Thị trường tiền tệ</t>
  </si>
  <si>
    <t>LAW05H</t>
  </si>
  <si>
    <t>KDQT3.5Y.xls</t>
  </si>
  <si>
    <t>KT3.5Y.xls</t>
  </si>
  <si>
    <t>NH3.5Y.xls</t>
  </si>
  <si>
    <t>QTKD3.5Y.xls</t>
  </si>
  <si>
    <t>TC3.5Y.xls</t>
  </si>
  <si>
    <t>K11KT</t>
  </si>
  <si>
    <t>HDTVTC.xls</t>
  </si>
  <si>
    <t>02 (2TC)</t>
  </si>
  <si>
    <t>IS20H</t>
  </si>
  <si>
    <t>ECO09H</t>
  </si>
  <si>
    <t>Kinh tế học</t>
  </si>
  <si>
    <t>NHTWCSC.xls</t>
  </si>
  <si>
    <t>ENG12H</t>
  </si>
  <si>
    <t>ENG14H</t>
  </si>
  <si>
    <t>Đọc cơ bản</t>
  </si>
  <si>
    <t>ENG15H</t>
  </si>
  <si>
    <t>Viết cơ bản</t>
  </si>
  <si>
    <t>ENG16H</t>
  </si>
  <si>
    <t>Nói cơ bản</t>
  </si>
  <si>
    <t>ENG17H</t>
  </si>
  <si>
    <t>Nghe cơ bản</t>
  </si>
  <si>
    <t>TMDT.xls</t>
  </si>
  <si>
    <t>K12KT</t>
  </si>
  <si>
    <t>K28KT</t>
  </si>
  <si>
    <t>KTDT</t>
  </si>
  <si>
    <t>KT</t>
  </si>
  <si>
    <t>CNTC</t>
  </si>
  <si>
    <t>CNTT</t>
  </si>
  <si>
    <t>HTTT</t>
  </si>
  <si>
    <t>KDQT</t>
  </si>
  <si>
    <t>LKT</t>
  </si>
  <si>
    <t>LOG</t>
  </si>
  <si>
    <t>NH</t>
  </si>
  <si>
    <t>NHS</t>
  </si>
  <si>
    <t>NNA</t>
  </si>
  <si>
    <t>QTDL</t>
  </si>
  <si>
    <t>QTKD</t>
  </si>
  <si>
    <t>TC</t>
  </si>
  <si>
    <t>K10KT3.5Y.xls</t>
  </si>
  <si>
    <t>K10NH3.5Y.xls</t>
  </si>
  <si>
    <t>K10QTKD3.5Y.xls</t>
  </si>
  <si>
    <t>K10TC3.5Y.xls</t>
  </si>
  <si>
    <t>K28CNTC20251</t>
  </si>
  <si>
    <t>K28CNTC</t>
  </si>
  <si>
    <t>K28CNTT20251</t>
  </si>
  <si>
    <t>K28CNTT</t>
  </si>
  <si>
    <t>K28HTTT20251</t>
  </si>
  <si>
    <t>K28HTTT</t>
  </si>
  <si>
    <t>K28KDQT20251</t>
  </si>
  <si>
    <t>K28KDQT</t>
  </si>
  <si>
    <t>K28KHDL20251</t>
  </si>
  <si>
    <t>K28KHDL</t>
  </si>
  <si>
    <t>K28KIT20251</t>
  </si>
  <si>
    <t>K28KTDT20251</t>
  </si>
  <si>
    <t>K28LKT20251</t>
  </si>
  <si>
    <t>K28LKT</t>
  </si>
  <si>
    <t>K28LOG20251</t>
  </si>
  <si>
    <t>K28LOG</t>
  </si>
  <si>
    <t>K28MKT20251</t>
  </si>
  <si>
    <t>K28MKT</t>
  </si>
  <si>
    <t>K28NH20251</t>
  </si>
  <si>
    <t>K28NH</t>
  </si>
  <si>
    <t>K28NHS20251</t>
  </si>
  <si>
    <t>K28NHS</t>
  </si>
  <si>
    <t>K28NNA20251</t>
  </si>
  <si>
    <t>K28NNA</t>
  </si>
  <si>
    <t>K28QTDL20251</t>
  </si>
  <si>
    <t>K28QTDL</t>
  </si>
  <si>
    <t>K28QTKD20251</t>
  </si>
  <si>
    <t>K28QTKD</t>
  </si>
  <si>
    <t>K28TC20251</t>
  </si>
  <si>
    <t>K28TC</t>
  </si>
  <si>
    <t>K27CNTC</t>
  </si>
  <si>
    <t>K27CNTC20251</t>
  </si>
  <si>
    <t>K27CNTT</t>
  </si>
  <si>
    <t>K27CNTT20251</t>
  </si>
  <si>
    <t>K27HTTT</t>
  </si>
  <si>
    <t>K27HTTT20251</t>
  </si>
  <si>
    <t>K27KDQT</t>
  </si>
  <si>
    <t>K27KDQT20251</t>
  </si>
  <si>
    <t>K27KT20251</t>
  </si>
  <si>
    <t>K27KIT20251</t>
  </si>
  <si>
    <t>K27KTDT</t>
  </si>
  <si>
    <t>K27KTDT20251</t>
  </si>
  <si>
    <t>K27LKT</t>
  </si>
  <si>
    <t>K27LKT20251</t>
  </si>
  <si>
    <t>K27LOG</t>
  </si>
  <si>
    <t>K27LOG20251</t>
  </si>
  <si>
    <t>K27NH</t>
  </si>
  <si>
    <t>K27NH20251</t>
  </si>
  <si>
    <t>K27NHS</t>
  </si>
  <si>
    <t>K27NHS20251</t>
  </si>
  <si>
    <t>K27NNA</t>
  </si>
  <si>
    <t>K27NNA20251</t>
  </si>
  <si>
    <t>K27QTDL</t>
  </si>
  <si>
    <t>K27QTDL20251</t>
  </si>
  <si>
    <t>K27QTKD</t>
  </si>
  <si>
    <t>K27QTKD20251</t>
  </si>
  <si>
    <t>K27TC</t>
  </si>
  <si>
    <t>K27TC20251</t>
  </si>
  <si>
    <t>K10KT3.5Y</t>
  </si>
  <si>
    <t>K10KT3.5Y20251</t>
  </si>
  <si>
    <t>K10NH3.5Y</t>
  </si>
  <si>
    <t>K10NH3.5Y20251</t>
  </si>
  <si>
    <t>K10QTKD3.5Y</t>
  </si>
  <si>
    <t>K10QTKD3.5Y20251</t>
  </si>
  <si>
    <t>K10TC3.5Y</t>
  </si>
  <si>
    <t>K10TC3.5Y20251</t>
  </si>
  <si>
    <t>K10KT20251</t>
  </si>
  <si>
    <t>K10NH</t>
  </si>
  <si>
    <t>K10NH20251</t>
  </si>
  <si>
    <t>K10QTKD</t>
  </si>
  <si>
    <t>K10QTKD20251</t>
  </si>
  <si>
    <t>K10TC</t>
  </si>
  <si>
    <t>K10TC20251</t>
  </si>
  <si>
    <t>K11KDQT</t>
  </si>
  <si>
    <t>K11KDQT20251</t>
  </si>
  <si>
    <t>K11KT20251</t>
  </si>
  <si>
    <t>K11KTDT</t>
  </si>
  <si>
    <t>K11KTDT20251</t>
  </si>
  <si>
    <t>K11MKTS</t>
  </si>
  <si>
    <t>K11MKTS20251</t>
  </si>
  <si>
    <t>K11NH</t>
  </si>
  <si>
    <t>K11NH20251</t>
  </si>
  <si>
    <t>K11NHTCQT</t>
  </si>
  <si>
    <t>K11NHTCQT20251</t>
  </si>
  <si>
    <t>K11QTKD</t>
  </si>
  <si>
    <t>K11QTKD20251</t>
  </si>
  <si>
    <t>K11TC</t>
  </si>
  <si>
    <t>K11TC20251</t>
  </si>
  <si>
    <t>K11KDQT3.5Y</t>
  </si>
  <si>
    <t>K11KDQT3.5Y20251</t>
  </si>
  <si>
    <t>K11KT3.5Y</t>
  </si>
  <si>
    <t>K11KT3.5Y20251</t>
  </si>
  <si>
    <t>K11NH&amp;TCQT3.5Y</t>
  </si>
  <si>
    <t>K11NH&amp;TCQT3.5Y20251</t>
  </si>
  <si>
    <t>K11NH3.5Y</t>
  </si>
  <si>
    <t>K11NH3.5Y20251</t>
  </si>
  <si>
    <t>K11QTKD3.5Y</t>
  </si>
  <si>
    <t>K11QTKD3.5Y20251</t>
  </si>
  <si>
    <t>K11TC3.5Y</t>
  </si>
  <si>
    <t>K11TC3.5Y20251</t>
  </si>
  <si>
    <t>K12TMDT</t>
  </si>
  <si>
    <t>K12TMDT20251</t>
  </si>
  <si>
    <t>K12HDTVTC</t>
  </si>
  <si>
    <t>K12HDTVTC20251</t>
  </si>
  <si>
    <t>K12HTTT</t>
  </si>
  <si>
    <t>K12HTTT20251</t>
  </si>
  <si>
    <t>K12KDQT</t>
  </si>
  <si>
    <t>K12KDQT20251</t>
  </si>
  <si>
    <t>K12KT20251</t>
  </si>
  <si>
    <t>K12KTDT</t>
  </si>
  <si>
    <t>K12KTDT20251</t>
  </si>
  <si>
    <t>K12MKTS</t>
  </si>
  <si>
    <t>K12MKTS20251</t>
  </si>
  <si>
    <t>K12NH</t>
  </si>
  <si>
    <t>K12NH20251</t>
  </si>
  <si>
    <t>K12NHTCQT</t>
  </si>
  <si>
    <t>K12NHTCQT20251</t>
  </si>
  <si>
    <t>K12NHTWCSC</t>
  </si>
  <si>
    <t>K12NHTWCSC20251</t>
  </si>
  <si>
    <t>K12NNA</t>
  </si>
  <si>
    <t>K12NNA20251</t>
  </si>
  <si>
    <t>K12QTKD</t>
  </si>
  <si>
    <t>K12QTKD20251</t>
  </si>
  <si>
    <t>K12TC</t>
  </si>
  <si>
    <t>K12TC20251</t>
  </si>
  <si>
    <t>K26</t>
  </si>
  <si>
    <t>K26CNTC20251</t>
  </si>
  <si>
    <t>K26CNTT20251</t>
  </si>
  <si>
    <t>K26HTTT20251</t>
  </si>
  <si>
    <t>K26KDQT20251</t>
  </si>
  <si>
    <t>K26KT20251</t>
  </si>
  <si>
    <t>K26KTDT20251</t>
  </si>
  <si>
    <t>K26LKT20251</t>
  </si>
  <si>
    <t>K26LOG20251</t>
  </si>
  <si>
    <t>K26NH20251</t>
  </si>
  <si>
    <t>K26NHS20251</t>
  </si>
  <si>
    <t>K26NNA20251</t>
  </si>
  <si>
    <t>K26QTDL20251</t>
  </si>
  <si>
    <t>K26QTKD20251</t>
  </si>
  <si>
    <t>K26TC20251</t>
  </si>
  <si>
    <t>K27</t>
  </si>
  <si>
    <t>KIT</t>
  </si>
  <si>
    <t>K28</t>
  </si>
  <si>
    <t>K28KT20251</t>
  </si>
  <si>
    <t>KHDL</t>
  </si>
  <si>
    <t>MKT</t>
  </si>
  <si>
    <t>K10</t>
  </si>
  <si>
    <t>KT3.5Y</t>
  </si>
  <si>
    <t>NH3.5Y</t>
  </si>
  <si>
    <t>QTKD3.5Y</t>
  </si>
  <si>
    <t>TC3.5Y</t>
  </si>
  <si>
    <t>Khoa</t>
  </si>
  <si>
    <t>CTDT</t>
  </si>
  <si>
    <t>Name</t>
  </si>
  <si>
    <t>Source</t>
  </si>
  <si>
    <t>KhoaNganh</t>
  </si>
  <si>
    <t>NamTH</t>
  </si>
  <si>
    <t>HKTH</t>
  </si>
  <si>
    <t>MaHP</t>
  </si>
  <si>
    <t>TenHP</t>
  </si>
  <si>
    <t>SoTC</t>
  </si>
  <si>
    <t>NHTCQT3.5Y.xls</t>
  </si>
  <si>
    <t>KT.xls</t>
  </si>
  <si>
    <t>Source.Name</t>
  </si>
  <si>
    <t>Năm TH</t>
  </si>
  <si>
    <t>Học Kỳ TH</t>
  </si>
  <si>
    <t>Mã HP</t>
  </si>
  <si>
    <t>Tên HP</t>
  </si>
  <si>
    <t>Số TC</t>
  </si>
  <si>
    <t>TS</t>
  </si>
  <si>
    <t>LT</t>
  </si>
  <si>
    <t>TH</t>
  </si>
  <si>
    <t>TL</t>
  </si>
  <si>
    <t>TT</t>
  </si>
  <si>
    <t>ĐA</t>
  </si>
  <si>
    <t>LA</t>
  </si>
  <si>
    <t>Nhóm tự chọn</t>
  </si>
  <si>
    <t>Tự chọn định hướng</t>
  </si>
  <si>
    <t>Ghi Chú</t>
  </si>
  <si>
    <t>Tiên Quyết</t>
  </si>
  <si>
    <t>Học Trước</t>
  </si>
  <si>
    <t>Song Hành</t>
  </si>
  <si>
    <t>Đã Tổ Chức</t>
  </si>
  <si>
    <t>Ngôn Ngữ Dạy</t>
  </si>
  <si>
    <t>K25ATC.xls</t>
  </si>
  <si>
    <t>[FIN86A]Tài chính - Tiền tệ</t>
  </si>
  <si>
    <t>ENG37A</t>
  </si>
  <si>
    <t>Kỹ năng tranh biện</t>
  </si>
  <si>
    <t>[ENG14A]Nghe Nói IV</t>
  </si>
  <si>
    <t>ENG51A</t>
  </si>
  <si>
    <t>Tiếng Anh tài chính - ngân hàng</t>
  </si>
  <si>
    <t>[ENG65A]Tiếng Anh chuyên ngành II</t>
  </si>
  <si>
    <t>MKT25A</t>
  </si>
  <si>
    <t>ENG69A</t>
  </si>
  <si>
    <t>Đàm phán trong kinh doanh</t>
  </si>
  <si>
    <t>0301 (6TC)</t>
  </si>
  <si>
    <t>FIN114A</t>
  </si>
  <si>
    <t>Ngân hàng số</t>
  </si>
  <si>
    <t>FIN116A</t>
  </si>
  <si>
    <t>MGT19A</t>
  </si>
  <si>
    <t>K25CNTT.xls</t>
  </si>
  <si>
    <t>[IS52A]Năng lực số ứng dụng</t>
  </si>
  <si>
    <t>[IS25A]Lập trình .NET</t>
  </si>
  <si>
    <t>[IS19A]Thiết kế Web</t>
  </si>
  <si>
    <t>IS51A</t>
  </si>
  <si>
    <t>Lập trình Web với Php và MySQL</t>
  </si>
  <si>
    <t>IS24A</t>
  </si>
  <si>
    <t>Kho dữ liệu và kinh doanh thông minh</t>
  </si>
  <si>
    <t>[MIS02A]Hệ thống thông tin quản lý</t>
  </si>
  <si>
    <t>IS26A</t>
  </si>
  <si>
    <t>Lập trình di động</t>
  </si>
  <si>
    <t>IS60A</t>
  </si>
  <si>
    <t>Quản lý dự án công nghệ thông tin</t>
  </si>
  <si>
    <t>[MIS08A]Phân tích thiết kế hệ thống</t>
  </si>
  <si>
    <t>IT02A</t>
  </si>
  <si>
    <t>Kiểm thử và đảm bảo chất lượng phần mềm</t>
  </si>
  <si>
    <t>IS55A</t>
  </si>
  <si>
    <t>Công nghệ dịch vụ tài chính</t>
  </si>
  <si>
    <t>IS56A</t>
  </si>
  <si>
    <t>Công nghệ ngân hàng số</t>
  </si>
  <si>
    <t>K25HTTT.xls</t>
  </si>
  <si>
    <t>IS49A</t>
  </si>
  <si>
    <t>Phân tích nghiệp vụ (BA)</t>
  </si>
  <si>
    <t>IS34A</t>
  </si>
  <si>
    <t>Hệ thống hoạch định tài nguyên doanh nghiệp</t>
  </si>
  <si>
    <t>Hệ thống thông tin doanh nghiệp (6TC)</t>
  </si>
  <si>
    <t>Hệ thống thông tin ngân hàng (6TC)</t>
  </si>
  <si>
    <t>MIS06A</t>
  </si>
  <si>
    <t>Các hệ thống thông tin trong ngân hàng</t>
  </si>
  <si>
    <t>K25KDQT.xls</t>
  </si>
  <si>
    <t>[ECO03A]Kinh tế quốc tế</t>
  </si>
  <si>
    <t>[MGT28A]Chiến lược kinh doanh quốc tế</t>
  </si>
  <si>
    <t>[FIN02A]Tài chính doanh nghiệp I</t>
  </si>
  <si>
    <t>[FIN03A]Tài chính quốc tế</t>
  </si>
  <si>
    <t>BUS11A</t>
  </si>
  <si>
    <t>Chính sách và nghiệp vụ hải quan</t>
  </si>
  <si>
    <t>[BUS09A]Chính sách thương mại quốc tế</t>
  </si>
  <si>
    <t>BUS14A</t>
  </si>
  <si>
    <t>Logistics và vận tải quốc tế</t>
  </si>
  <si>
    <t>[BUS01A]Giao dịch thương mại quốc tế</t>
  </si>
  <si>
    <t>BUS21A</t>
  </si>
  <si>
    <t>Chứng từ và thực hành xuất nhập khẩu</t>
  </si>
  <si>
    <t>MGT33A</t>
  </si>
  <si>
    <t>Quản trị dự án đầu tư quốc tế</t>
  </si>
  <si>
    <t>[FIN53A]Đầu tư quốc tế</t>
  </si>
  <si>
    <t>BUS26A</t>
  </si>
  <si>
    <t>Bảo hiểm rủi ro trong kinh doanh quốc tế</t>
  </si>
  <si>
    <t>BUS27A</t>
  </si>
  <si>
    <t>Chuỗi cung ứng toàn cầu</t>
  </si>
  <si>
    <t>FIN38A</t>
  </si>
  <si>
    <t>Tài trợ thương mại quốc tế</t>
  </si>
  <si>
    <t>[FIN76A]Thanh toán quốc tế</t>
  </si>
  <si>
    <t>MKT24A</t>
  </si>
  <si>
    <t>Marketing trong kinh doanh quốc tế</t>
  </si>
  <si>
    <t>[MKT21A]Marketing</t>
  </si>
  <si>
    <t>K25KT.xls</t>
  </si>
  <si>
    <t>[ACT01A]Nguyên lý kế toán</t>
  </si>
  <si>
    <t>[ACT08A]Kiểm toán căn bản</t>
  </si>
  <si>
    <t>[ACT02A]Kế toán tài chính I</t>
  </si>
  <si>
    <t>MIS01A</t>
  </si>
  <si>
    <t>Hệ thống thông tin kế toán</t>
  </si>
  <si>
    <t>ACT29A</t>
  </si>
  <si>
    <t>Tổ chức công tác kế toán trong môi trường công nghệ</t>
  </si>
  <si>
    <t>ACT05A</t>
  </si>
  <si>
    <t>Kế toán công</t>
  </si>
  <si>
    <t>Kế toán doanh nghiệp (9TC)</t>
  </si>
  <si>
    <t>ACT07A</t>
  </si>
  <si>
    <t>ACT20A</t>
  </si>
  <si>
    <t>Kiểm toán tài chính II</t>
  </si>
  <si>
    <t>Kiểm toán doanh nghiệp (9TC)</t>
  </si>
  <si>
    <t>[ACT19A]Kiểm toán tài chính I</t>
  </si>
  <si>
    <t>ACT21A</t>
  </si>
  <si>
    <t>Kiểm toán hoạt động</t>
  </si>
  <si>
    <t>ACT22A</t>
  </si>
  <si>
    <t>Kiểm soát quản lý</t>
  </si>
  <si>
    <t>ACT27A</t>
  </si>
  <si>
    <t>Các vấn đề kế toán đương đại</t>
  </si>
  <si>
    <t>K25KTDT.xls</t>
  </si>
  <si>
    <t>ECO18A</t>
  </si>
  <si>
    <t>Quản trị dự án II</t>
  </si>
  <si>
    <t>[ECO17A]Quản trị dự án I</t>
  </si>
  <si>
    <t>ECO19A</t>
  </si>
  <si>
    <t>Quản trị rủi ro trong đầu tư</t>
  </si>
  <si>
    <t>IS42A</t>
  </si>
  <si>
    <t>IS41A</t>
  </si>
  <si>
    <t>Tin học trong đầu tư</t>
  </si>
  <si>
    <t>MGT43A</t>
  </si>
  <si>
    <t>Khởi sự kinh doanh</t>
  </si>
  <si>
    <t>[MGT01A]Quản trị học</t>
  </si>
  <si>
    <t>K25LKT.xls</t>
  </si>
  <si>
    <t>[LAW15A]Lý luận nhà nước và pháp luật</t>
  </si>
  <si>
    <t>0501 (3TC)</t>
  </si>
  <si>
    <t>[LAW23A]Luật dân sự II</t>
  </si>
  <si>
    <t>[LAW27A]Luật thương mại I</t>
  </si>
  <si>
    <t>Kế toán ngân hàng</t>
  </si>
  <si>
    <t>[FIN82A]Tài chính - Tiền tệ</t>
  </si>
  <si>
    <t>LAW03A</t>
  </si>
  <si>
    <t>LAW05A</t>
  </si>
  <si>
    <t>Luật tài chính</t>
  </si>
  <si>
    <t>[LAW45A]Tư pháp quốc tế</t>
  </si>
  <si>
    <t>LAW26A</t>
  </si>
  <si>
    <t>LAW40A</t>
  </si>
  <si>
    <t>Kỹ năng đàm phán và soạn thảo hợp đồng</t>
  </si>
  <si>
    <t>LAW10A</t>
  </si>
  <si>
    <t>Luật chứng khoán</t>
  </si>
  <si>
    <t>0401 (2TC)</t>
  </si>
  <si>
    <t>LAW30A</t>
  </si>
  <si>
    <t>Luật đầu tư</t>
  </si>
  <si>
    <t>LAW33A</t>
  </si>
  <si>
    <t>Luật môi trường</t>
  </si>
  <si>
    <t>[LAW46A]Luật thương mại II</t>
  </si>
  <si>
    <t>LAW34A</t>
  </si>
  <si>
    <t>Luật kinh doanh bất động sản</t>
  </si>
  <si>
    <t>LAW35A</t>
  </si>
  <si>
    <t>Luật cạnh tranh</t>
  </si>
  <si>
    <t>LAW36A</t>
  </si>
  <si>
    <t>Luật kinh doanh bảo hiểm</t>
  </si>
  <si>
    <t>K25NH.xls</t>
  </si>
  <si>
    <t>[FIN17A]Ngân hàng thương mại</t>
  </si>
  <si>
    <t>FIN101A</t>
  </si>
  <si>
    <t>FIN20A</t>
  </si>
  <si>
    <t>Quản trị ngân hàng</t>
  </si>
  <si>
    <t>FIN68A</t>
  </si>
  <si>
    <t>Kỹ năng giao dịch trong ngân hàng</t>
  </si>
  <si>
    <t>[MKT22A]Marketing dịch vụ tài chính - ngân hàng</t>
  </si>
  <si>
    <t>FIN96A</t>
  </si>
  <si>
    <t>Đề án ngân hàng</t>
  </si>
  <si>
    <t>ACT28A</t>
  </si>
  <si>
    <t>Kiểm soát - Kiểm toán nội bộ ngân hàng thương mại</t>
  </si>
  <si>
    <t>[MGT35A]Đạo đức nghề nghiệp và phát triển bền vững</t>
  </si>
  <si>
    <t>FIN103A</t>
  </si>
  <si>
    <t>Dịch vụ ngân hàng tư nhân</t>
  </si>
  <si>
    <t>FIN109A</t>
  </si>
  <si>
    <t>Thẩm định và Tài trợ dự án</t>
  </si>
  <si>
    <t>FIN110A</t>
  </si>
  <si>
    <t>Thanh Toán quốc tế và Tài trợ thương mại quốc tế</t>
  </si>
  <si>
    <t>FIN35A</t>
  </si>
  <si>
    <t>Quản trị rủi ro tín dụng</t>
  </si>
  <si>
    <t>[FIN55A]Phân tích tài chính doanh nghiệp I</t>
  </si>
  <si>
    <t>K25QTKD.xls</t>
  </si>
  <si>
    <t>Quản trị truyền thông</t>
  </si>
  <si>
    <t>MGT05A</t>
  </si>
  <si>
    <t>Quản trị chất lượng</t>
  </si>
  <si>
    <t>Bắt buộc (12TC)</t>
  </si>
  <si>
    <t>MGT06A</t>
  </si>
  <si>
    <t>Quản trị sản xuất và tác nghiệp</t>
  </si>
  <si>
    <t>MGT14A</t>
  </si>
  <si>
    <t>Kế hoạch kinh doanh</t>
  </si>
  <si>
    <t>Tự chọn (3TC)</t>
  </si>
  <si>
    <t>MGT61A</t>
  </si>
  <si>
    <t>Quản trị rủi ro trong kinh doanh</t>
  </si>
  <si>
    <t>MGT64A</t>
  </si>
  <si>
    <t>Lãnh đạo</t>
  </si>
  <si>
    <t>MKT03A</t>
  </si>
  <si>
    <t>Marketing quốc tế</t>
  </si>
  <si>
    <t>Quản trị Marketing (15TC)</t>
  </si>
  <si>
    <t>MKT09A</t>
  </si>
  <si>
    <t>MKT19A</t>
  </si>
  <si>
    <t>Quản trị bán hàng</t>
  </si>
  <si>
    <t>MKT20A</t>
  </si>
  <si>
    <t>Marketing dịch vụ</t>
  </si>
  <si>
    <t>K25TC.xls</t>
  </si>
  <si>
    <t>FIN108A</t>
  </si>
  <si>
    <t>Tài trợ khởi nghiệp</t>
  </si>
  <si>
    <t>[FIN25A]Tài chính doanh nghiệp II</t>
  </si>
  <si>
    <t>FIN75A</t>
  </si>
  <si>
    <t>Quản trị rủi ro tài chính</t>
  </si>
  <si>
    <t>FIN98A</t>
  </si>
  <si>
    <t>Công nghệ tài chính</t>
  </si>
  <si>
    <t>MGT34A</t>
  </si>
  <si>
    <t>Đạo đức nghề nghiệp</t>
  </si>
  <si>
    <t>FIN100A</t>
  </si>
  <si>
    <t>Ngân hàng đầu tư</t>
  </si>
  <si>
    <t>Đầu tư tài chính (9TC)</t>
  </si>
  <si>
    <t>[FIN13A]Thị trường chứng khoán</t>
  </si>
  <si>
    <t>FIN106A</t>
  </si>
  <si>
    <t>Quản trị gia sản &amp; danh mục đầu tư</t>
  </si>
  <si>
    <t>FIN107A</t>
  </si>
  <si>
    <t>Tài chính hành vi</t>
  </si>
  <si>
    <t>FIN111A</t>
  </si>
  <si>
    <t>Hoạch định thuế trong kinh doanh</t>
  </si>
  <si>
    <t>Thuế (9TC)</t>
  </si>
  <si>
    <t>[FIN06A]Thuế</t>
  </si>
  <si>
    <t>FIN28A</t>
  </si>
  <si>
    <t>Mua bán và sáp nhập doanh nghiệp</t>
  </si>
  <si>
    <t>Tài chính doanh nghiệp (9TC)</t>
  </si>
  <si>
    <t>[FIN104A]Nguyên lý thẩm định giá tài sản</t>
  </si>
  <si>
    <t>FIN41A</t>
  </si>
  <si>
    <t>Phân tích tài chính doanh nghiệp II</t>
  </si>
  <si>
    <t>FIN79A</t>
  </si>
  <si>
    <t>Quản lý thuế</t>
  </si>
  <si>
    <t>FIN95A</t>
  </si>
  <si>
    <t>Thuế quốc tế</t>
  </si>
  <si>
    <t>FIN99A</t>
  </si>
  <si>
    <t>Chiến lược tài chính doanh nghiệp</t>
  </si>
  <si>
    <t>K9KT.xls</t>
  </si>
  <si>
    <t>[MGT36H]Đổi mới sáng tạo</t>
  </si>
  <si>
    <t>ACCA (24TC)</t>
  </si>
  <si>
    <t>ICAEW (24TC)</t>
  </si>
  <si>
    <t>[ACT02H]Kế toán tài chính I</t>
  </si>
  <si>
    <t>ACT08H</t>
  </si>
  <si>
    <t>Kiểm toán nội bộ</t>
  </si>
  <si>
    <t>[ACT29H]Kiểm toán I, [ACT30H]Kiểm toán I</t>
  </si>
  <si>
    <t>ACT31H</t>
  </si>
  <si>
    <t>Kế toán trong môi trường số</t>
  </si>
  <si>
    <t>ACT32H</t>
  </si>
  <si>
    <t>ACT21H</t>
  </si>
  <si>
    <t>Kế toán tài chính IV</t>
  </si>
  <si>
    <t>[ACT19H]Kế toán tài chính III</t>
  </si>
  <si>
    <t>ACT22H</t>
  </si>
  <si>
    <t>[ACT20H]Kế toán tài chính III</t>
  </si>
  <si>
    <t>K9NH.xls</t>
  </si>
  <si>
    <t>[FIN09H]Ngân hàng thương mại</t>
  </si>
  <si>
    <t>ACT12H</t>
  </si>
  <si>
    <t>FIN101H</t>
  </si>
  <si>
    <t>[FIN112H]Phân tích dữ liệu trong tài chính - ngân hàng</t>
  </si>
  <si>
    <t>FIN12H</t>
  </si>
  <si>
    <t>FIN20H</t>
  </si>
  <si>
    <t>[MKT22H]Marketing dịch vụ tài chính- ngân hàng</t>
  </si>
  <si>
    <t>ACT28H</t>
  </si>
  <si>
    <t>[MGT35H]Đạo đức nghề nghiệp và phát triển bền vững</t>
  </si>
  <si>
    <t>FIN103H</t>
  </si>
  <si>
    <t>Ngân hàng tư nhân</t>
  </si>
  <si>
    <t>FIN109H</t>
  </si>
  <si>
    <t>[FIN11H]Tín dụng ngân hàng</t>
  </si>
  <si>
    <t>FIN110H</t>
  </si>
  <si>
    <t>Thanh toán quốc tế và Tài trợ thương mại quốc tế</t>
  </si>
  <si>
    <t>[FIN02H]Tài chính quốc tế</t>
  </si>
  <si>
    <t>FIN16H</t>
  </si>
  <si>
    <t>K9QTKD.xls</t>
  </si>
  <si>
    <t>[MKT05H]Marketing</t>
  </si>
  <si>
    <t>[MGT01H]Quản trị học</t>
  </si>
  <si>
    <t>MGT02H</t>
  </si>
  <si>
    <t>Quản trị công ty</t>
  </si>
  <si>
    <t>Bắt buộc (15TC)</t>
  </si>
  <si>
    <t>MGT05H</t>
  </si>
  <si>
    <t>MGT06H</t>
  </si>
  <si>
    <t>MGT07H</t>
  </si>
  <si>
    <t>MGT10H</t>
  </si>
  <si>
    <t>MGT15H</t>
  </si>
  <si>
    <t>Lãnh đạo - Leadership</t>
  </si>
  <si>
    <t>MGT24H</t>
  </si>
  <si>
    <t>MGT45H</t>
  </si>
  <si>
    <t>BB (18TC)</t>
  </si>
  <si>
    <t>MKT04H</t>
  </si>
  <si>
    <t>[MKT01H]Quản trị marketing</t>
  </si>
  <si>
    <t>MKT08H</t>
  </si>
  <si>
    <t>MKT13H</t>
  </si>
  <si>
    <t>MKT19H</t>
  </si>
  <si>
    <t>MKT20H</t>
  </si>
  <si>
    <t>K9TC.xls</t>
  </si>
  <si>
    <t>[FIN07H]Thị trường chứng khoán</t>
  </si>
  <si>
    <t>FIN108H</t>
  </si>
  <si>
    <t>[FIN13H]Tài chính doanh nghiệp II</t>
  </si>
  <si>
    <t>FIN17H</t>
  </si>
  <si>
    <t>FIN98H</t>
  </si>
  <si>
    <t>MGT34H</t>
  </si>
  <si>
    <t>[FIN55H]Phân tích tài chính doanh nghiệp I</t>
  </si>
  <si>
    <t>FIN106H</t>
  </si>
  <si>
    <t>0401 (9TC)</t>
  </si>
  <si>
    <t>FIN111H</t>
  </si>
  <si>
    <t>[FIN03H]Thuế</t>
  </si>
  <si>
    <t>FIN14H</t>
  </si>
  <si>
    <t>[FIN104H]Nguyên lý thẩm định giá tài sản</t>
  </si>
  <si>
    <t>FIN41H</t>
  </si>
  <si>
    <t>Column1</t>
  </si>
  <si>
    <t>Column2</t>
  </si>
  <si>
    <t>Column12</t>
  </si>
  <si>
    <t>Column13</t>
  </si>
  <si>
    <t>K25</t>
  </si>
  <si>
    <t>ATC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</si>
</sst>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Times New Roman"/>
      <family val="2"/>
    </font>
    <font>
      <sz val="8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C87CCE91-648D-4520-96CA-0E6EE254CFF1}" autoFormatId="16" applyNumberFormats="0" applyBorderFormats="0" applyFontFormats="0" applyPatternFormats="0" applyAlignmentFormats="0" applyWidthHeightFormats="0">
  <queryTableRefresh nextId="32">
    <queryTableFields count="25">
      <queryTableField id="1" name="Source.Name" tableColumnId="1"/>
      <queryTableField id="29" dataBound="0" tableColumnId="29"/>
      <queryTableField id="28" dataBound="0" tableColumnId="28"/>
      <queryTableField id="30" dataBound="0" tableColumnId="30"/>
      <queryTableField id="31" dataBound="0" tableColumnId="31"/>
      <queryTableField id="5" name="Năm TH" tableColumnId="5"/>
      <queryTableField id="6" name="Học Kỳ TH" tableColumnId="6"/>
      <queryTableField id="7" name="Mã HP" tableColumnId="7"/>
      <queryTableField id="9" name="Tên HP" tableColumnId="9"/>
      <queryTableField id="12" name="Số TC" tableColumnId="12"/>
      <queryTableField id="13" name="TS" tableColumnId="13"/>
      <queryTableField id="14" name="LT" tableColumnId="14"/>
      <queryTableField id="15" name="TH" tableColumnId="15"/>
      <queryTableField id="16" name="TL" tableColumnId="16"/>
      <queryTableField id="17" name="TT" tableColumnId="17"/>
      <queryTableField id="18" name="ĐA" tableColumnId="18"/>
      <queryTableField id="19" name="LA" tableColumnId="19"/>
      <queryTableField id="20" name="Nhóm tự chọn" tableColumnId="20"/>
      <queryTableField id="21" name="Tự chọn định hướng" tableColumnId="21"/>
      <queryTableField id="22" name="Ghi Chú" tableColumnId="22"/>
      <queryTableField id="23" name="Tiên Quyết" tableColumnId="23"/>
      <queryTableField id="24" name="Học Trước" tableColumnId="24"/>
      <queryTableField id="25" name="Song Hành" tableColumnId="25"/>
      <queryTableField id="26" name="Đã Tổ Chức" tableColumnId="26"/>
      <queryTableField id="27" name="Ngôn Ngữ Dạy" tableColumnId="27"/>
    </queryTableFields>
    <queryTableDeletedFields count="6">
      <deletedField name="STT"/>
      <deletedField name="Năm KH"/>
      <deletedField name="Học Kỳ KH"/>
      <deletedField name="BB"/>
      <deletedField name="Tên HP NN"/>
      <deletedField name="Số TC N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0D7700-470D-46E9-AE45-28F453A12208}" name="K25___K9" displayName="K25___K9" ref="A1:Y126" tableType="queryTable" totalsRowShown="0">
  <autoFilter ref="A1:Y126" xr:uid="{080D7700-470D-46E9-AE45-28F453A12208}"/>
  <tableColumns count="25">
    <tableColumn id="1" xr3:uid="{12882FBA-3E33-442A-9EF3-A38708AC3C36}" uniqueName="1" name="Source.Name" queryTableFieldId="1" dataDxfId="10"/>
    <tableColumn id="29" xr3:uid="{16E247A9-6542-4860-8F8F-F990F5C1CF19}" uniqueName="29" name="Column2" queryTableFieldId="29" dataDxfId="9"/>
    <tableColumn id="28" xr3:uid="{D9AF126E-93CF-407C-8CA9-45FB81342B8E}" uniqueName="28" name="Column1" queryTableFieldId="28" dataDxfId="8"/>
    <tableColumn id="30" xr3:uid="{D532A343-3E3A-4FA2-850C-F7AF0C35BA94}" uniqueName="30" name="Column12" queryTableFieldId="30" dataDxfId="7">
      <calculatedColumnFormula>LEFT(K25___K9[[#This Row],[Source.Name]],3)</calculatedColumnFormula>
    </tableColumn>
    <tableColumn id="31" xr3:uid="{7E656A6A-8776-4292-8EEC-EC742F707527}" uniqueName="31" name="Column13" queryTableFieldId="31" dataDxfId="6">
      <calculatedColumnFormula>MID(K25___K9[[#This Row],[Source.Name]],4,LEN(K25___K9[[#This Row],[Source.Name]])-7)</calculatedColumnFormula>
    </tableColumn>
    <tableColumn id="5" xr3:uid="{2A37732D-DCA2-42A4-8C29-A90647F9EE31}" uniqueName="5" name="Năm TH" queryTableFieldId="5"/>
    <tableColumn id="6" xr3:uid="{02C41947-B3F5-4830-A7A8-A8CBC69EA2F5}" uniqueName="6" name="Học Kỳ TH" queryTableFieldId="6"/>
    <tableColumn id="7" xr3:uid="{C4201C97-2C59-4413-9035-B1F7E6680B16}" uniqueName="7" name="Mã HP" queryTableFieldId="7" dataDxfId="5"/>
    <tableColumn id="9" xr3:uid="{8AB0E069-FB72-40EE-8950-FB16764AB042}" uniqueName="9" name="Tên HP" queryTableFieldId="9" dataDxfId="4"/>
    <tableColumn id="12" xr3:uid="{7848975C-09BE-4AEA-ABE6-1FE5A28B5840}" uniqueName="12" name="Số TC" queryTableFieldId="12"/>
    <tableColumn id="13" xr3:uid="{70CF98E9-0C5E-49F8-A31E-A0BDA085E1FF}" uniqueName="13" name="TS" queryTableFieldId="13"/>
    <tableColumn id="14" xr3:uid="{51C5682D-D01B-4C92-A552-7D5FEDB1D1BA}" uniqueName="14" name="LT" queryTableFieldId="14"/>
    <tableColumn id="15" xr3:uid="{1BB4CC97-6A9E-40D2-A147-63F975280309}" uniqueName="15" name="TH" queryTableFieldId="15"/>
    <tableColumn id="16" xr3:uid="{4AD25175-7E4D-4725-984F-2DC0EEE7BB60}" uniqueName="16" name="TL" queryTableFieldId="16"/>
    <tableColumn id="17" xr3:uid="{D32834D0-A31D-4ECB-9CF0-EF2BE6BDAB66}" uniqueName="17" name="TT" queryTableFieldId="17"/>
    <tableColumn id="18" xr3:uid="{979FD7A9-E60B-47B5-927B-FFF4843AF10D}" uniqueName="18" name="ĐA" queryTableFieldId="18"/>
    <tableColumn id="19" xr3:uid="{3F96B02D-C1CD-49C4-8742-B84F566ABFCB}" uniqueName="19" name="LA" queryTableFieldId="19"/>
    <tableColumn id="20" xr3:uid="{DF1BAA40-F85E-4D6F-B210-A2F50F5425F6}" uniqueName="20" name="Nhóm tự chọn" queryTableFieldId="20" dataDxfId="3"/>
    <tableColumn id="21" xr3:uid="{C16240AC-04B5-412F-8214-DD32F0620DE2}" uniqueName="21" name="Tự chọn định hướng" queryTableFieldId="21" dataDxfId="2"/>
    <tableColumn id="22" xr3:uid="{A66B7C50-0618-4BC1-BC30-5DB51E368CB6}" uniqueName="22" name="Ghi Chú" queryTableFieldId="22"/>
    <tableColumn id="23" xr3:uid="{52023B03-EB5D-4ADC-8D06-121EFE902A2E}" uniqueName="23" name="Tiên Quyết" queryTableFieldId="23" dataDxfId="1"/>
    <tableColumn id="24" xr3:uid="{0849EE3E-49F3-449C-B680-47A24AE26347}" uniqueName="24" name="Học Trước" queryTableFieldId="24"/>
    <tableColumn id="25" xr3:uid="{CF29E5E5-0F03-4033-AAC4-5817EC36F3D5}" uniqueName="25" name="Song Hành" queryTableFieldId="25"/>
    <tableColumn id="26" xr3:uid="{2EF75151-64BD-491A-8F2A-C78446175F4F}" uniqueName="26" name="Đã Tổ Chức" queryTableFieldId="26" dataDxfId="0"/>
    <tableColumn id="27" xr3:uid="{4A1F34BB-8457-4322-8F02-E7DB48CBEF96}" uniqueName="27" name="Ngôn Ngữ Dạy" queryTableFieldId="2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274D8-7E46-4611-931C-0D632CE67F2D}">
  <dimension ref="A1:X763"/>
  <sheetViews>
    <sheetView tabSelected="1" topLeftCell="A715" workbookViewId="0">
      <selection activeCell="E736" sqref="E736"/>
    </sheetView>
  </sheetViews>
  <sheetFormatPr defaultRowHeight="15.75" x14ac:dyDescent="0.25"/>
  <cols>
    <col min="1" max="1" width="12.75" customWidth="1"/>
    <col min="2" max="2" width="18" bestFit="1" customWidth="1"/>
    <col min="3" max="3" width="23.125" bestFit="1" customWidth="1"/>
    <col min="5" max="5" width="12.75" bestFit="1" customWidth="1"/>
  </cols>
  <sheetData>
    <row r="1" spans="1:10" x14ac:dyDescent="0.25">
      <c r="A1" t="s">
        <v>586</v>
      </c>
      <c r="B1" t="s">
        <v>587</v>
      </c>
      <c r="C1" t="s">
        <v>588</v>
      </c>
      <c r="D1" t="s">
        <v>584</v>
      </c>
      <c r="E1" t="s">
        <v>585</v>
      </c>
      <c r="F1" t="s">
        <v>589</v>
      </c>
      <c r="G1" t="s">
        <v>590</v>
      </c>
      <c r="H1" t="s">
        <v>591</v>
      </c>
      <c r="I1" t="s">
        <v>592</v>
      </c>
      <c r="J1" t="s">
        <v>593</v>
      </c>
    </row>
    <row r="2" spans="1:10" x14ac:dyDescent="0.25">
      <c r="A2" t="s">
        <v>0</v>
      </c>
      <c r="B2" t="s">
        <v>417</v>
      </c>
      <c r="C2" t="s">
        <v>559</v>
      </c>
      <c r="D2" t="s">
        <v>558</v>
      </c>
      <c r="E2" t="s">
        <v>417</v>
      </c>
      <c r="F2">
        <v>2025</v>
      </c>
      <c r="G2">
        <v>1</v>
      </c>
      <c r="H2" t="s">
        <v>44</v>
      </c>
      <c r="I2" t="s">
        <v>45</v>
      </c>
      <c r="J2">
        <v>2</v>
      </c>
    </row>
    <row r="3" spans="1:10" x14ac:dyDescent="0.25">
      <c r="A3" t="s">
        <v>0</v>
      </c>
      <c r="B3" t="s">
        <v>417</v>
      </c>
      <c r="C3" t="s">
        <v>559</v>
      </c>
      <c r="D3" t="s">
        <v>558</v>
      </c>
      <c r="E3" t="s">
        <v>417</v>
      </c>
      <c r="F3">
        <v>2025</v>
      </c>
      <c r="G3">
        <v>1</v>
      </c>
      <c r="H3" t="s">
        <v>46</v>
      </c>
      <c r="I3" t="s">
        <v>47</v>
      </c>
      <c r="J3">
        <v>3</v>
      </c>
    </row>
    <row r="4" spans="1:10" x14ac:dyDescent="0.25">
      <c r="A4" t="s">
        <v>0</v>
      </c>
      <c r="B4" t="s">
        <v>417</v>
      </c>
      <c r="C4" t="s">
        <v>559</v>
      </c>
      <c r="D4" t="s">
        <v>558</v>
      </c>
      <c r="E4" t="s">
        <v>417</v>
      </c>
      <c r="F4">
        <v>2025</v>
      </c>
      <c r="G4">
        <v>1</v>
      </c>
      <c r="H4" t="s">
        <v>48</v>
      </c>
      <c r="I4" t="s">
        <v>49</v>
      </c>
      <c r="J4">
        <v>3</v>
      </c>
    </row>
    <row r="5" spans="1:10" x14ac:dyDescent="0.25">
      <c r="A5" t="s">
        <v>0</v>
      </c>
      <c r="B5" t="s">
        <v>417</v>
      </c>
      <c r="C5" t="s">
        <v>559</v>
      </c>
      <c r="D5" t="s">
        <v>558</v>
      </c>
      <c r="E5" t="s">
        <v>417</v>
      </c>
      <c r="F5">
        <v>2025</v>
      </c>
      <c r="G5">
        <v>1</v>
      </c>
      <c r="H5" t="s">
        <v>50</v>
      </c>
      <c r="I5" t="s">
        <v>51</v>
      </c>
      <c r="J5">
        <v>3</v>
      </c>
    </row>
    <row r="6" spans="1:10" x14ac:dyDescent="0.25">
      <c r="A6" t="s">
        <v>0</v>
      </c>
      <c r="B6" t="s">
        <v>417</v>
      </c>
      <c r="C6" t="s">
        <v>559</v>
      </c>
      <c r="D6" t="s">
        <v>558</v>
      </c>
      <c r="E6" t="s">
        <v>417</v>
      </c>
      <c r="F6">
        <v>2025</v>
      </c>
      <c r="G6">
        <v>1</v>
      </c>
      <c r="H6" t="s">
        <v>52</v>
      </c>
      <c r="I6" t="s">
        <v>53</v>
      </c>
      <c r="J6">
        <v>3</v>
      </c>
    </row>
    <row r="7" spans="1:10" x14ac:dyDescent="0.25">
      <c r="A7" t="s">
        <v>0</v>
      </c>
      <c r="B7" t="s">
        <v>417</v>
      </c>
      <c r="C7" t="s">
        <v>559</v>
      </c>
      <c r="D7" t="s">
        <v>558</v>
      </c>
      <c r="E7" t="s">
        <v>417</v>
      </c>
      <c r="F7">
        <v>2025</v>
      </c>
      <c r="G7">
        <v>1</v>
      </c>
      <c r="H7" t="s">
        <v>54</v>
      </c>
      <c r="I7" t="s">
        <v>55</v>
      </c>
      <c r="J7">
        <v>3</v>
      </c>
    </row>
    <row r="8" spans="1:10" x14ac:dyDescent="0.25">
      <c r="A8" t="s">
        <v>0</v>
      </c>
      <c r="B8" t="s">
        <v>417</v>
      </c>
      <c r="C8" t="s">
        <v>559</v>
      </c>
      <c r="D8" t="s">
        <v>558</v>
      </c>
      <c r="E8" t="s">
        <v>417</v>
      </c>
      <c r="F8">
        <v>2025</v>
      </c>
      <c r="G8">
        <v>1</v>
      </c>
      <c r="H8" t="s">
        <v>56</v>
      </c>
      <c r="I8" t="s">
        <v>57</v>
      </c>
      <c r="J8">
        <v>3</v>
      </c>
    </row>
    <row r="9" spans="1:10" x14ac:dyDescent="0.25">
      <c r="A9" t="s">
        <v>0</v>
      </c>
      <c r="B9" t="s">
        <v>417</v>
      </c>
      <c r="C9" t="s">
        <v>559</v>
      </c>
      <c r="D9" t="s">
        <v>558</v>
      </c>
      <c r="E9" t="s">
        <v>417</v>
      </c>
      <c r="F9">
        <v>2025</v>
      </c>
      <c r="G9">
        <v>1</v>
      </c>
      <c r="H9" t="s">
        <v>58</v>
      </c>
      <c r="I9" t="s">
        <v>59</v>
      </c>
      <c r="J9">
        <v>3</v>
      </c>
    </row>
    <row r="10" spans="1:10" x14ac:dyDescent="0.25">
      <c r="A10" t="s">
        <v>68</v>
      </c>
      <c r="B10" t="s">
        <v>418</v>
      </c>
      <c r="C10" t="s">
        <v>560</v>
      </c>
      <c r="D10" t="s">
        <v>558</v>
      </c>
      <c r="E10" t="s">
        <v>418</v>
      </c>
      <c r="F10">
        <v>2025</v>
      </c>
      <c r="G10">
        <v>1</v>
      </c>
      <c r="H10" t="s">
        <v>46</v>
      </c>
      <c r="I10" t="s">
        <v>47</v>
      </c>
      <c r="J10">
        <v>3</v>
      </c>
    </row>
    <row r="11" spans="1:10" x14ac:dyDescent="0.25">
      <c r="A11" t="s">
        <v>68</v>
      </c>
      <c r="B11" t="s">
        <v>418</v>
      </c>
      <c r="C11" t="s">
        <v>560</v>
      </c>
      <c r="D11" t="s">
        <v>558</v>
      </c>
      <c r="E11" t="s">
        <v>418</v>
      </c>
      <c r="F11">
        <v>2025</v>
      </c>
      <c r="G11">
        <v>1</v>
      </c>
      <c r="H11" t="s">
        <v>84</v>
      </c>
      <c r="I11" t="s">
        <v>85</v>
      </c>
      <c r="J11">
        <v>3</v>
      </c>
    </row>
    <row r="12" spans="1:10" x14ac:dyDescent="0.25">
      <c r="A12" t="s">
        <v>68</v>
      </c>
      <c r="B12" t="s">
        <v>418</v>
      </c>
      <c r="C12" t="s">
        <v>560</v>
      </c>
      <c r="D12" t="s">
        <v>558</v>
      </c>
      <c r="E12" t="s">
        <v>418</v>
      </c>
      <c r="F12">
        <v>2025</v>
      </c>
      <c r="G12">
        <v>1</v>
      </c>
      <c r="H12" t="s">
        <v>86</v>
      </c>
      <c r="I12" t="s">
        <v>87</v>
      </c>
      <c r="J12">
        <v>3</v>
      </c>
    </row>
    <row r="13" spans="1:10" x14ac:dyDescent="0.25">
      <c r="A13" t="s">
        <v>68</v>
      </c>
      <c r="B13" t="s">
        <v>418</v>
      </c>
      <c r="C13" t="s">
        <v>560</v>
      </c>
      <c r="D13" t="s">
        <v>558</v>
      </c>
      <c r="E13" t="s">
        <v>418</v>
      </c>
      <c r="F13">
        <v>2025</v>
      </c>
      <c r="G13">
        <v>1</v>
      </c>
      <c r="H13" t="s">
        <v>88</v>
      </c>
      <c r="I13" t="s">
        <v>89</v>
      </c>
      <c r="J13">
        <v>3</v>
      </c>
    </row>
    <row r="14" spans="1:10" x14ac:dyDescent="0.25">
      <c r="A14" t="s">
        <v>68</v>
      </c>
      <c r="B14" t="s">
        <v>418</v>
      </c>
      <c r="C14" t="s">
        <v>560</v>
      </c>
      <c r="D14" t="s">
        <v>558</v>
      </c>
      <c r="E14" t="s">
        <v>418</v>
      </c>
      <c r="F14">
        <v>2025</v>
      </c>
      <c r="G14">
        <v>1</v>
      </c>
      <c r="H14" t="s">
        <v>90</v>
      </c>
      <c r="I14" t="s">
        <v>91</v>
      </c>
      <c r="J14">
        <v>3</v>
      </c>
    </row>
    <row r="15" spans="1:10" x14ac:dyDescent="0.25">
      <c r="A15" t="s">
        <v>68</v>
      </c>
      <c r="B15" t="s">
        <v>418</v>
      </c>
      <c r="C15" t="s">
        <v>560</v>
      </c>
      <c r="D15" t="s">
        <v>558</v>
      </c>
      <c r="E15" t="s">
        <v>418</v>
      </c>
      <c r="F15">
        <v>2025</v>
      </c>
      <c r="G15">
        <v>1</v>
      </c>
      <c r="H15" t="s">
        <v>52</v>
      </c>
      <c r="I15" t="s">
        <v>53</v>
      </c>
      <c r="J15">
        <v>3</v>
      </c>
    </row>
    <row r="16" spans="1:10" x14ac:dyDescent="0.25">
      <c r="A16" t="s">
        <v>94</v>
      </c>
      <c r="B16" t="s">
        <v>419</v>
      </c>
      <c r="C16" t="s">
        <v>561</v>
      </c>
      <c r="D16" t="s">
        <v>558</v>
      </c>
      <c r="E16" t="s">
        <v>419</v>
      </c>
      <c r="F16">
        <v>2025</v>
      </c>
      <c r="G16">
        <v>1</v>
      </c>
      <c r="H16" t="s">
        <v>46</v>
      </c>
      <c r="I16" t="s">
        <v>47</v>
      </c>
      <c r="J16">
        <v>3</v>
      </c>
    </row>
    <row r="17" spans="1:10" x14ac:dyDescent="0.25">
      <c r="A17" t="s">
        <v>94</v>
      </c>
      <c r="B17" t="s">
        <v>419</v>
      </c>
      <c r="C17" t="s">
        <v>561</v>
      </c>
      <c r="D17" t="s">
        <v>558</v>
      </c>
      <c r="E17" t="s">
        <v>419</v>
      </c>
      <c r="F17">
        <v>2025</v>
      </c>
      <c r="G17">
        <v>1</v>
      </c>
      <c r="H17" t="s">
        <v>88</v>
      </c>
      <c r="I17" t="s">
        <v>89</v>
      </c>
      <c r="J17">
        <v>3</v>
      </c>
    </row>
    <row r="18" spans="1:10" x14ac:dyDescent="0.25">
      <c r="A18" t="s">
        <v>94</v>
      </c>
      <c r="B18" t="s">
        <v>419</v>
      </c>
      <c r="C18" t="s">
        <v>561</v>
      </c>
      <c r="D18" t="s">
        <v>558</v>
      </c>
      <c r="E18" t="s">
        <v>419</v>
      </c>
      <c r="F18">
        <v>2025</v>
      </c>
      <c r="G18">
        <v>1</v>
      </c>
      <c r="H18" t="s">
        <v>103</v>
      </c>
      <c r="I18" t="s">
        <v>104</v>
      </c>
      <c r="J18">
        <v>3</v>
      </c>
    </row>
    <row r="19" spans="1:10" x14ac:dyDescent="0.25">
      <c r="A19" t="s">
        <v>94</v>
      </c>
      <c r="B19" t="s">
        <v>419</v>
      </c>
      <c r="C19" t="s">
        <v>561</v>
      </c>
      <c r="D19" t="s">
        <v>558</v>
      </c>
      <c r="E19" t="s">
        <v>419</v>
      </c>
      <c r="F19">
        <v>2025</v>
      </c>
      <c r="G19">
        <v>1</v>
      </c>
      <c r="H19" t="s">
        <v>90</v>
      </c>
      <c r="I19" t="s">
        <v>91</v>
      </c>
      <c r="J19">
        <v>3</v>
      </c>
    </row>
    <row r="20" spans="1:10" x14ac:dyDescent="0.25">
      <c r="A20" t="s">
        <v>94</v>
      </c>
      <c r="B20" t="s">
        <v>419</v>
      </c>
      <c r="C20" t="s">
        <v>561</v>
      </c>
      <c r="D20" t="s">
        <v>558</v>
      </c>
      <c r="E20" t="s">
        <v>419</v>
      </c>
      <c r="F20">
        <v>2025</v>
      </c>
      <c r="G20">
        <v>1</v>
      </c>
      <c r="H20" t="s">
        <v>52</v>
      </c>
      <c r="I20" t="s">
        <v>53</v>
      </c>
      <c r="J20">
        <v>3</v>
      </c>
    </row>
    <row r="21" spans="1:10" x14ac:dyDescent="0.25">
      <c r="A21" t="s">
        <v>94</v>
      </c>
      <c r="B21" t="s">
        <v>419</v>
      </c>
      <c r="C21" t="s">
        <v>561</v>
      </c>
      <c r="D21" t="s">
        <v>558</v>
      </c>
      <c r="E21" t="s">
        <v>419</v>
      </c>
      <c r="F21">
        <v>2025</v>
      </c>
      <c r="G21">
        <v>1</v>
      </c>
      <c r="H21" t="s">
        <v>38</v>
      </c>
      <c r="I21" t="s">
        <v>39</v>
      </c>
      <c r="J21">
        <v>3</v>
      </c>
    </row>
    <row r="22" spans="1:10" x14ac:dyDescent="0.25">
      <c r="A22" t="s">
        <v>94</v>
      </c>
      <c r="B22" t="s">
        <v>419</v>
      </c>
      <c r="C22" t="s">
        <v>561</v>
      </c>
      <c r="D22" t="s">
        <v>558</v>
      </c>
      <c r="E22" t="s">
        <v>419</v>
      </c>
      <c r="F22">
        <v>2025</v>
      </c>
      <c r="G22">
        <v>1</v>
      </c>
      <c r="H22" t="s">
        <v>40</v>
      </c>
      <c r="I22" t="s">
        <v>41</v>
      </c>
      <c r="J22">
        <v>3</v>
      </c>
    </row>
    <row r="23" spans="1:10" x14ac:dyDescent="0.25">
      <c r="A23" t="s">
        <v>105</v>
      </c>
      <c r="B23" t="s">
        <v>420</v>
      </c>
      <c r="C23" t="s">
        <v>562</v>
      </c>
      <c r="D23" t="s">
        <v>558</v>
      </c>
      <c r="E23" t="s">
        <v>420</v>
      </c>
      <c r="F23">
        <v>2025</v>
      </c>
      <c r="G23">
        <v>1</v>
      </c>
      <c r="H23" t="s">
        <v>110</v>
      </c>
      <c r="I23" t="s">
        <v>111</v>
      </c>
      <c r="J23">
        <v>3</v>
      </c>
    </row>
    <row r="24" spans="1:10" x14ac:dyDescent="0.25">
      <c r="A24" t="s">
        <v>105</v>
      </c>
      <c r="B24" t="s">
        <v>420</v>
      </c>
      <c r="C24" t="s">
        <v>562</v>
      </c>
      <c r="D24" t="s">
        <v>558</v>
      </c>
      <c r="E24" t="s">
        <v>420</v>
      </c>
      <c r="F24">
        <v>2025</v>
      </c>
      <c r="G24">
        <v>1</v>
      </c>
      <c r="H24" t="s">
        <v>112</v>
      </c>
      <c r="I24" t="s">
        <v>113</v>
      </c>
      <c r="J24">
        <v>3</v>
      </c>
    </row>
    <row r="25" spans="1:10" x14ac:dyDescent="0.25">
      <c r="A25" t="s">
        <v>105</v>
      </c>
      <c r="B25" t="s">
        <v>420</v>
      </c>
      <c r="C25" t="s">
        <v>562</v>
      </c>
      <c r="D25" t="s">
        <v>558</v>
      </c>
      <c r="E25" t="s">
        <v>420</v>
      </c>
      <c r="F25">
        <v>2025</v>
      </c>
      <c r="G25">
        <v>1</v>
      </c>
      <c r="H25" t="s">
        <v>114</v>
      </c>
      <c r="I25" t="s">
        <v>115</v>
      </c>
      <c r="J25">
        <v>3</v>
      </c>
    </row>
    <row r="26" spans="1:10" x14ac:dyDescent="0.25">
      <c r="A26" t="s">
        <v>105</v>
      </c>
      <c r="B26" t="s">
        <v>420</v>
      </c>
      <c r="C26" t="s">
        <v>562</v>
      </c>
      <c r="D26" t="s">
        <v>558</v>
      </c>
      <c r="E26" t="s">
        <v>420</v>
      </c>
      <c r="F26">
        <v>2025</v>
      </c>
      <c r="G26">
        <v>1</v>
      </c>
      <c r="H26" t="s">
        <v>116</v>
      </c>
      <c r="I26" t="s">
        <v>117</v>
      </c>
      <c r="J26">
        <v>3</v>
      </c>
    </row>
    <row r="27" spans="1:10" x14ac:dyDescent="0.25">
      <c r="A27" t="s">
        <v>105</v>
      </c>
      <c r="B27" t="s">
        <v>420</v>
      </c>
      <c r="C27" t="s">
        <v>562</v>
      </c>
      <c r="D27" t="s">
        <v>558</v>
      </c>
      <c r="E27" t="s">
        <v>420</v>
      </c>
      <c r="F27">
        <v>2025</v>
      </c>
      <c r="G27">
        <v>1</v>
      </c>
      <c r="H27" t="s">
        <v>118</v>
      </c>
      <c r="I27" t="s">
        <v>119</v>
      </c>
      <c r="J27">
        <v>3</v>
      </c>
    </row>
    <row r="28" spans="1:10" x14ac:dyDescent="0.25">
      <c r="A28" t="s">
        <v>105</v>
      </c>
      <c r="B28" t="s">
        <v>420</v>
      </c>
      <c r="C28" t="s">
        <v>562</v>
      </c>
      <c r="D28" t="s">
        <v>558</v>
      </c>
      <c r="E28" t="s">
        <v>420</v>
      </c>
      <c r="F28">
        <v>2025</v>
      </c>
      <c r="G28">
        <v>1</v>
      </c>
      <c r="H28" t="s">
        <v>120</v>
      </c>
      <c r="I28" t="s">
        <v>121</v>
      </c>
      <c r="J28">
        <v>3</v>
      </c>
    </row>
    <row r="29" spans="1:10" x14ac:dyDescent="0.25">
      <c r="A29" t="s">
        <v>105</v>
      </c>
      <c r="B29" t="s">
        <v>420</v>
      </c>
      <c r="C29" t="s">
        <v>562</v>
      </c>
      <c r="D29" t="s">
        <v>558</v>
      </c>
      <c r="E29" t="s">
        <v>420</v>
      </c>
      <c r="F29">
        <v>2025</v>
      </c>
      <c r="G29">
        <v>1</v>
      </c>
      <c r="H29" t="s">
        <v>122</v>
      </c>
      <c r="I29" t="s">
        <v>123</v>
      </c>
      <c r="J29">
        <v>3</v>
      </c>
    </row>
    <row r="30" spans="1:10" x14ac:dyDescent="0.25">
      <c r="A30" t="s">
        <v>105</v>
      </c>
      <c r="B30" t="s">
        <v>420</v>
      </c>
      <c r="C30" t="s">
        <v>562</v>
      </c>
      <c r="D30" t="s">
        <v>558</v>
      </c>
      <c r="E30" t="s">
        <v>420</v>
      </c>
      <c r="F30">
        <v>2025</v>
      </c>
      <c r="G30">
        <v>1</v>
      </c>
      <c r="H30" t="s">
        <v>40</v>
      </c>
      <c r="I30" t="s">
        <v>41</v>
      </c>
      <c r="J30">
        <v>3</v>
      </c>
    </row>
    <row r="31" spans="1:10" x14ac:dyDescent="0.25">
      <c r="A31" t="s">
        <v>105</v>
      </c>
      <c r="B31" t="s">
        <v>420</v>
      </c>
      <c r="C31" t="s">
        <v>562</v>
      </c>
      <c r="D31" t="s">
        <v>558</v>
      </c>
      <c r="E31" t="s">
        <v>420</v>
      </c>
      <c r="F31">
        <v>2025</v>
      </c>
      <c r="G31">
        <v>1</v>
      </c>
      <c r="H31" t="s">
        <v>103</v>
      </c>
      <c r="I31" t="s">
        <v>104</v>
      </c>
      <c r="J31">
        <v>3</v>
      </c>
    </row>
    <row r="32" spans="1:10" x14ac:dyDescent="0.25">
      <c r="A32" t="s">
        <v>129</v>
      </c>
      <c r="B32" t="s">
        <v>416</v>
      </c>
      <c r="C32" t="s">
        <v>563</v>
      </c>
      <c r="D32" t="s">
        <v>558</v>
      </c>
      <c r="E32" t="s">
        <v>416</v>
      </c>
      <c r="F32">
        <v>2025</v>
      </c>
      <c r="G32">
        <v>1</v>
      </c>
      <c r="H32" t="s">
        <v>42</v>
      </c>
      <c r="I32" t="s">
        <v>43</v>
      </c>
      <c r="J32">
        <v>2</v>
      </c>
    </row>
    <row r="33" spans="1:10" x14ac:dyDescent="0.25">
      <c r="A33" t="s">
        <v>129</v>
      </c>
      <c r="B33" t="s">
        <v>416</v>
      </c>
      <c r="C33" t="s">
        <v>563</v>
      </c>
      <c r="D33" t="s">
        <v>558</v>
      </c>
      <c r="E33" t="s">
        <v>416</v>
      </c>
      <c r="F33">
        <v>2025</v>
      </c>
      <c r="G33">
        <v>1</v>
      </c>
      <c r="H33" t="s">
        <v>133</v>
      </c>
      <c r="I33" t="s">
        <v>134</v>
      </c>
      <c r="J33">
        <v>3</v>
      </c>
    </row>
    <row r="34" spans="1:10" x14ac:dyDescent="0.25">
      <c r="A34" t="s">
        <v>129</v>
      </c>
      <c r="B34" t="s">
        <v>416</v>
      </c>
      <c r="C34" t="s">
        <v>563</v>
      </c>
      <c r="D34" t="s">
        <v>558</v>
      </c>
      <c r="E34" t="s">
        <v>416</v>
      </c>
      <c r="F34">
        <v>2025</v>
      </c>
      <c r="G34">
        <v>1</v>
      </c>
      <c r="H34" t="s">
        <v>135</v>
      </c>
      <c r="I34" t="s">
        <v>136</v>
      </c>
      <c r="J34">
        <v>3</v>
      </c>
    </row>
    <row r="35" spans="1:10" x14ac:dyDescent="0.25">
      <c r="A35" t="s">
        <v>129</v>
      </c>
      <c r="B35" t="s">
        <v>416</v>
      </c>
      <c r="C35" t="s">
        <v>563</v>
      </c>
      <c r="D35" t="s">
        <v>558</v>
      </c>
      <c r="E35" t="s">
        <v>416</v>
      </c>
      <c r="F35">
        <v>2025</v>
      </c>
      <c r="G35">
        <v>1</v>
      </c>
      <c r="H35" t="s">
        <v>46</v>
      </c>
      <c r="I35" t="s">
        <v>47</v>
      </c>
      <c r="J35">
        <v>3</v>
      </c>
    </row>
    <row r="36" spans="1:10" x14ac:dyDescent="0.25">
      <c r="A36" t="s">
        <v>129</v>
      </c>
      <c r="B36" t="s">
        <v>416</v>
      </c>
      <c r="C36" t="s">
        <v>563</v>
      </c>
      <c r="D36" t="s">
        <v>558</v>
      </c>
      <c r="E36" t="s">
        <v>416</v>
      </c>
      <c r="F36">
        <v>2025</v>
      </c>
      <c r="G36">
        <v>1</v>
      </c>
      <c r="H36" t="s">
        <v>137</v>
      </c>
      <c r="I36" t="s">
        <v>138</v>
      </c>
      <c r="J36">
        <v>3</v>
      </c>
    </row>
    <row r="37" spans="1:10" x14ac:dyDescent="0.25">
      <c r="A37" t="s">
        <v>129</v>
      </c>
      <c r="B37" t="s">
        <v>416</v>
      </c>
      <c r="C37" t="s">
        <v>563</v>
      </c>
      <c r="D37" t="s">
        <v>558</v>
      </c>
      <c r="E37" t="s">
        <v>416</v>
      </c>
      <c r="F37">
        <v>2025</v>
      </c>
      <c r="G37">
        <v>1</v>
      </c>
      <c r="H37" t="s">
        <v>124</v>
      </c>
      <c r="I37" t="s">
        <v>125</v>
      </c>
      <c r="J37">
        <v>3</v>
      </c>
    </row>
    <row r="38" spans="1:10" x14ac:dyDescent="0.25">
      <c r="A38" t="s">
        <v>129</v>
      </c>
      <c r="B38" t="s">
        <v>416</v>
      </c>
      <c r="C38" t="s">
        <v>563</v>
      </c>
      <c r="D38" t="s">
        <v>558</v>
      </c>
      <c r="E38" t="s">
        <v>416</v>
      </c>
      <c r="F38">
        <v>2025</v>
      </c>
      <c r="G38">
        <v>1</v>
      </c>
      <c r="H38" t="s">
        <v>139</v>
      </c>
      <c r="I38" t="s">
        <v>140</v>
      </c>
      <c r="J38">
        <v>3</v>
      </c>
    </row>
    <row r="39" spans="1:10" x14ac:dyDescent="0.25">
      <c r="A39" t="s">
        <v>129</v>
      </c>
      <c r="B39" t="s">
        <v>416</v>
      </c>
      <c r="C39" t="s">
        <v>563</v>
      </c>
      <c r="D39" t="s">
        <v>558</v>
      </c>
      <c r="E39" t="s">
        <v>416</v>
      </c>
      <c r="F39">
        <v>2025</v>
      </c>
      <c r="G39">
        <v>1</v>
      </c>
      <c r="H39" t="s">
        <v>40</v>
      </c>
      <c r="I39" t="s">
        <v>41</v>
      </c>
      <c r="J39">
        <v>3</v>
      </c>
    </row>
    <row r="40" spans="1:10" x14ac:dyDescent="0.25">
      <c r="A40" t="s">
        <v>129</v>
      </c>
      <c r="B40" t="s">
        <v>416</v>
      </c>
      <c r="C40" t="s">
        <v>563</v>
      </c>
      <c r="D40" t="s">
        <v>558</v>
      </c>
      <c r="E40" t="s">
        <v>416</v>
      </c>
      <c r="F40">
        <v>2025</v>
      </c>
      <c r="G40">
        <v>1</v>
      </c>
      <c r="H40" t="s">
        <v>61</v>
      </c>
      <c r="I40" t="s">
        <v>62</v>
      </c>
      <c r="J40">
        <v>3</v>
      </c>
    </row>
    <row r="41" spans="1:10" x14ac:dyDescent="0.25">
      <c r="A41" t="s">
        <v>146</v>
      </c>
      <c r="B41" t="s">
        <v>415</v>
      </c>
      <c r="C41" t="s">
        <v>564</v>
      </c>
      <c r="D41" t="s">
        <v>558</v>
      </c>
      <c r="E41" t="s">
        <v>415</v>
      </c>
      <c r="F41">
        <v>2025</v>
      </c>
      <c r="G41">
        <v>1</v>
      </c>
      <c r="H41" t="s">
        <v>101</v>
      </c>
      <c r="I41" t="s">
        <v>102</v>
      </c>
      <c r="J41">
        <v>3</v>
      </c>
    </row>
    <row r="42" spans="1:10" x14ac:dyDescent="0.25">
      <c r="A42" t="s">
        <v>146</v>
      </c>
      <c r="B42" t="s">
        <v>415</v>
      </c>
      <c r="C42" t="s">
        <v>564</v>
      </c>
      <c r="D42" t="s">
        <v>558</v>
      </c>
      <c r="E42" t="s">
        <v>415</v>
      </c>
      <c r="F42">
        <v>2025</v>
      </c>
      <c r="G42">
        <v>1</v>
      </c>
      <c r="H42" t="s">
        <v>151</v>
      </c>
      <c r="I42" t="s">
        <v>152</v>
      </c>
      <c r="J42">
        <v>3</v>
      </c>
    </row>
    <row r="43" spans="1:10" x14ac:dyDescent="0.25">
      <c r="A43" t="s">
        <v>146</v>
      </c>
      <c r="B43" t="s">
        <v>415</v>
      </c>
      <c r="C43" t="s">
        <v>564</v>
      </c>
      <c r="D43" t="s">
        <v>558</v>
      </c>
      <c r="E43" t="s">
        <v>415</v>
      </c>
      <c r="F43">
        <v>2025</v>
      </c>
      <c r="G43">
        <v>1</v>
      </c>
      <c r="H43" t="s">
        <v>153</v>
      </c>
      <c r="I43" t="s">
        <v>154</v>
      </c>
      <c r="J43">
        <v>3</v>
      </c>
    </row>
    <row r="44" spans="1:10" x14ac:dyDescent="0.25">
      <c r="A44" t="s">
        <v>146</v>
      </c>
      <c r="B44" t="s">
        <v>415</v>
      </c>
      <c r="C44" t="s">
        <v>564</v>
      </c>
      <c r="D44" t="s">
        <v>558</v>
      </c>
      <c r="E44" t="s">
        <v>415</v>
      </c>
      <c r="F44">
        <v>2025</v>
      </c>
      <c r="G44">
        <v>1</v>
      </c>
      <c r="H44" t="s">
        <v>46</v>
      </c>
      <c r="I44" t="s">
        <v>47</v>
      </c>
      <c r="J44">
        <v>3</v>
      </c>
    </row>
    <row r="45" spans="1:10" x14ac:dyDescent="0.25">
      <c r="A45" t="s">
        <v>146</v>
      </c>
      <c r="B45" t="s">
        <v>415</v>
      </c>
      <c r="C45" t="s">
        <v>564</v>
      </c>
      <c r="D45" t="s">
        <v>558</v>
      </c>
      <c r="E45" t="s">
        <v>415</v>
      </c>
      <c r="F45">
        <v>2025</v>
      </c>
      <c r="G45">
        <v>1</v>
      </c>
      <c r="H45" t="s">
        <v>155</v>
      </c>
      <c r="I45" t="s">
        <v>156</v>
      </c>
      <c r="J45">
        <v>3</v>
      </c>
    </row>
    <row r="46" spans="1:10" x14ac:dyDescent="0.25">
      <c r="A46" t="s">
        <v>146</v>
      </c>
      <c r="B46" t="s">
        <v>415</v>
      </c>
      <c r="C46" t="s">
        <v>564</v>
      </c>
      <c r="D46" t="s">
        <v>558</v>
      </c>
      <c r="E46" t="s">
        <v>415</v>
      </c>
      <c r="F46">
        <v>2025</v>
      </c>
      <c r="G46">
        <v>1</v>
      </c>
      <c r="H46" t="s">
        <v>103</v>
      </c>
      <c r="I46" t="s">
        <v>104</v>
      </c>
      <c r="J46">
        <v>3</v>
      </c>
    </row>
    <row r="47" spans="1:10" x14ac:dyDescent="0.25">
      <c r="A47" t="s">
        <v>146</v>
      </c>
      <c r="B47" t="s">
        <v>415</v>
      </c>
      <c r="C47" t="s">
        <v>564</v>
      </c>
      <c r="D47" t="s">
        <v>558</v>
      </c>
      <c r="E47" t="s">
        <v>415</v>
      </c>
      <c r="F47">
        <v>2025</v>
      </c>
      <c r="G47">
        <v>1</v>
      </c>
      <c r="H47" t="s">
        <v>157</v>
      </c>
      <c r="I47" t="s">
        <v>158</v>
      </c>
      <c r="J47">
        <v>3</v>
      </c>
    </row>
    <row r="48" spans="1:10" x14ac:dyDescent="0.25">
      <c r="A48" t="s">
        <v>159</v>
      </c>
      <c r="B48" t="s">
        <v>421</v>
      </c>
      <c r="C48" t="s">
        <v>565</v>
      </c>
      <c r="D48" t="s">
        <v>558</v>
      </c>
      <c r="E48" t="s">
        <v>421</v>
      </c>
      <c r="F48">
        <v>2025</v>
      </c>
      <c r="G48">
        <v>1</v>
      </c>
      <c r="H48" t="s">
        <v>106</v>
      </c>
      <c r="I48" t="s">
        <v>107</v>
      </c>
      <c r="J48">
        <v>3</v>
      </c>
    </row>
    <row r="49" spans="1:10" x14ac:dyDescent="0.25">
      <c r="A49" t="s">
        <v>159</v>
      </c>
      <c r="B49" t="s">
        <v>421</v>
      </c>
      <c r="C49" t="s">
        <v>565</v>
      </c>
      <c r="D49" t="s">
        <v>558</v>
      </c>
      <c r="E49" t="s">
        <v>421</v>
      </c>
      <c r="F49">
        <v>2025</v>
      </c>
      <c r="G49">
        <v>1</v>
      </c>
      <c r="H49" t="s">
        <v>170</v>
      </c>
      <c r="I49" t="s">
        <v>171</v>
      </c>
      <c r="J49">
        <v>3</v>
      </c>
    </row>
    <row r="50" spans="1:10" x14ac:dyDescent="0.25">
      <c r="A50" t="s">
        <v>159</v>
      </c>
      <c r="B50" t="s">
        <v>421</v>
      </c>
      <c r="C50" t="s">
        <v>565</v>
      </c>
      <c r="D50" t="s">
        <v>558</v>
      </c>
      <c r="E50" t="s">
        <v>421</v>
      </c>
      <c r="F50">
        <v>2025</v>
      </c>
      <c r="G50">
        <v>1</v>
      </c>
      <c r="H50" t="s">
        <v>172</v>
      </c>
      <c r="I50" t="s">
        <v>173</v>
      </c>
      <c r="J50">
        <v>3</v>
      </c>
    </row>
    <row r="51" spans="1:10" x14ac:dyDescent="0.25">
      <c r="A51" t="s">
        <v>159</v>
      </c>
      <c r="B51" t="s">
        <v>421</v>
      </c>
      <c r="C51" t="s">
        <v>565</v>
      </c>
      <c r="D51" t="s">
        <v>558</v>
      </c>
      <c r="E51" t="s">
        <v>421</v>
      </c>
      <c r="F51">
        <v>2025</v>
      </c>
      <c r="G51">
        <v>1</v>
      </c>
      <c r="H51" t="s">
        <v>174</v>
      </c>
      <c r="I51" t="s">
        <v>175</v>
      </c>
      <c r="J51">
        <v>3</v>
      </c>
    </row>
    <row r="52" spans="1:10" x14ac:dyDescent="0.25">
      <c r="A52" t="s">
        <v>159</v>
      </c>
      <c r="B52" t="s">
        <v>421</v>
      </c>
      <c r="C52" t="s">
        <v>565</v>
      </c>
      <c r="D52" t="s">
        <v>558</v>
      </c>
      <c r="E52" t="s">
        <v>421</v>
      </c>
      <c r="F52">
        <v>2025</v>
      </c>
      <c r="G52">
        <v>1</v>
      </c>
      <c r="H52" t="s">
        <v>176</v>
      </c>
      <c r="I52" t="s">
        <v>177</v>
      </c>
      <c r="J52">
        <v>2</v>
      </c>
    </row>
    <row r="53" spans="1:10" x14ac:dyDescent="0.25">
      <c r="A53" t="s">
        <v>159</v>
      </c>
      <c r="B53" t="s">
        <v>421</v>
      </c>
      <c r="C53" t="s">
        <v>565</v>
      </c>
      <c r="D53" t="s">
        <v>558</v>
      </c>
      <c r="E53" t="s">
        <v>421</v>
      </c>
      <c r="F53">
        <v>2025</v>
      </c>
      <c r="G53">
        <v>1</v>
      </c>
      <c r="H53" t="s">
        <v>178</v>
      </c>
      <c r="I53" t="s">
        <v>179</v>
      </c>
      <c r="J53">
        <v>3</v>
      </c>
    </row>
    <row r="54" spans="1:10" x14ac:dyDescent="0.25">
      <c r="A54" t="s">
        <v>185</v>
      </c>
      <c r="B54" t="s">
        <v>422</v>
      </c>
      <c r="C54" t="s">
        <v>566</v>
      </c>
      <c r="D54" t="s">
        <v>558</v>
      </c>
      <c r="E54" t="s">
        <v>422</v>
      </c>
      <c r="F54">
        <v>2025</v>
      </c>
      <c r="G54">
        <v>1</v>
      </c>
      <c r="H54" t="s">
        <v>114</v>
      </c>
      <c r="I54" t="s">
        <v>115</v>
      </c>
      <c r="J54">
        <v>3</v>
      </c>
    </row>
    <row r="55" spans="1:10" x14ac:dyDescent="0.25">
      <c r="A55" t="s">
        <v>185</v>
      </c>
      <c r="B55" t="s">
        <v>422</v>
      </c>
      <c r="C55" t="s">
        <v>566</v>
      </c>
      <c r="D55" t="s">
        <v>558</v>
      </c>
      <c r="E55" t="s">
        <v>422</v>
      </c>
      <c r="F55">
        <v>2025</v>
      </c>
      <c r="G55">
        <v>1</v>
      </c>
      <c r="H55" t="s">
        <v>110</v>
      </c>
      <c r="I55" t="s">
        <v>111</v>
      </c>
      <c r="J55">
        <v>3</v>
      </c>
    </row>
    <row r="56" spans="1:10" x14ac:dyDescent="0.25">
      <c r="A56" t="s">
        <v>185</v>
      </c>
      <c r="B56" t="s">
        <v>422</v>
      </c>
      <c r="C56" t="s">
        <v>566</v>
      </c>
      <c r="D56" t="s">
        <v>558</v>
      </c>
      <c r="E56" t="s">
        <v>422</v>
      </c>
      <c r="F56">
        <v>2025</v>
      </c>
      <c r="G56">
        <v>1</v>
      </c>
      <c r="H56" t="s">
        <v>112</v>
      </c>
      <c r="I56" t="s">
        <v>113</v>
      </c>
      <c r="J56">
        <v>3</v>
      </c>
    </row>
    <row r="57" spans="1:10" x14ac:dyDescent="0.25">
      <c r="A57" t="s">
        <v>185</v>
      </c>
      <c r="B57" t="s">
        <v>422</v>
      </c>
      <c r="C57" t="s">
        <v>566</v>
      </c>
      <c r="D57" t="s">
        <v>558</v>
      </c>
      <c r="E57" t="s">
        <v>422</v>
      </c>
      <c r="F57">
        <v>2025</v>
      </c>
      <c r="G57">
        <v>1</v>
      </c>
      <c r="H57" t="s">
        <v>46</v>
      </c>
      <c r="I57" t="s">
        <v>47</v>
      </c>
      <c r="J57">
        <v>3</v>
      </c>
    </row>
    <row r="58" spans="1:10" x14ac:dyDescent="0.25">
      <c r="A58" t="s">
        <v>185</v>
      </c>
      <c r="B58" t="s">
        <v>422</v>
      </c>
      <c r="C58" t="s">
        <v>566</v>
      </c>
      <c r="D58" t="s">
        <v>558</v>
      </c>
      <c r="E58" t="s">
        <v>422</v>
      </c>
      <c r="F58">
        <v>2025</v>
      </c>
      <c r="G58">
        <v>1</v>
      </c>
      <c r="H58" t="s">
        <v>116</v>
      </c>
      <c r="I58" t="s">
        <v>117</v>
      </c>
      <c r="J58">
        <v>3</v>
      </c>
    </row>
    <row r="59" spans="1:10" x14ac:dyDescent="0.25">
      <c r="A59" t="s">
        <v>185</v>
      </c>
      <c r="B59" t="s">
        <v>422</v>
      </c>
      <c r="C59" t="s">
        <v>566</v>
      </c>
      <c r="D59" t="s">
        <v>558</v>
      </c>
      <c r="E59" t="s">
        <v>422</v>
      </c>
      <c r="F59">
        <v>2025</v>
      </c>
      <c r="G59">
        <v>1</v>
      </c>
      <c r="H59" t="s">
        <v>65</v>
      </c>
      <c r="I59" t="s">
        <v>66</v>
      </c>
      <c r="J59">
        <v>3</v>
      </c>
    </row>
    <row r="60" spans="1:10" x14ac:dyDescent="0.25">
      <c r="A60" t="s">
        <v>185</v>
      </c>
      <c r="B60" t="s">
        <v>422</v>
      </c>
      <c r="C60" t="s">
        <v>566</v>
      </c>
      <c r="D60" t="s">
        <v>558</v>
      </c>
      <c r="E60" t="s">
        <v>422</v>
      </c>
      <c r="F60">
        <v>2025</v>
      </c>
      <c r="G60">
        <v>1</v>
      </c>
      <c r="H60" t="s">
        <v>126</v>
      </c>
      <c r="I60" t="s">
        <v>127</v>
      </c>
      <c r="J60">
        <v>3</v>
      </c>
    </row>
    <row r="61" spans="1:10" x14ac:dyDescent="0.25">
      <c r="A61" t="s">
        <v>185</v>
      </c>
      <c r="B61" t="s">
        <v>422</v>
      </c>
      <c r="C61" t="s">
        <v>566</v>
      </c>
      <c r="D61" t="s">
        <v>558</v>
      </c>
      <c r="E61" t="s">
        <v>422</v>
      </c>
      <c r="F61">
        <v>2025</v>
      </c>
      <c r="G61">
        <v>1</v>
      </c>
      <c r="H61" t="s">
        <v>122</v>
      </c>
      <c r="I61" t="s">
        <v>123</v>
      </c>
      <c r="J61">
        <v>3</v>
      </c>
    </row>
    <row r="62" spans="1:10" x14ac:dyDescent="0.25">
      <c r="A62" t="s">
        <v>185</v>
      </c>
      <c r="B62" t="s">
        <v>422</v>
      </c>
      <c r="C62" t="s">
        <v>566</v>
      </c>
      <c r="D62" t="s">
        <v>558</v>
      </c>
      <c r="E62" t="s">
        <v>422</v>
      </c>
      <c r="F62">
        <v>2025</v>
      </c>
      <c r="G62">
        <v>1</v>
      </c>
      <c r="H62" t="s">
        <v>40</v>
      </c>
      <c r="I62" t="s">
        <v>41</v>
      </c>
      <c r="J62">
        <v>3</v>
      </c>
    </row>
    <row r="63" spans="1:10" x14ac:dyDescent="0.25">
      <c r="A63" t="s">
        <v>185</v>
      </c>
      <c r="B63" t="s">
        <v>422</v>
      </c>
      <c r="C63" t="s">
        <v>566</v>
      </c>
      <c r="D63" t="s">
        <v>558</v>
      </c>
      <c r="E63" t="s">
        <v>422</v>
      </c>
      <c r="F63">
        <v>2025</v>
      </c>
      <c r="G63">
        <v>1</v>
      </c>
      <c r="H63" t="s">
        <v>183</v>
      </c>
      <c r="I63" t="s">
        <v>184</v>
      </c>
      <c r="J63">
        <v>3</v>
      </c>
    </row>
    <row r="64" spans="1:10" x14ac:dyDescent="0.25">
      <c r="A64" t="s">
        <v>186</v>
      </c>
      <c r="B64" t="s">
        <v>423</v>
      </c>
      <c r="C64" t="s">
        <v>567</v>
      </c>
      <c r="D64" t="s">
        <v>558</v>
      </c>
      <c r="E64" t="s">
        <v>423</v>
      </c>
      <c r="F64">
        <v>2025</v>
      </c>
      <c r="G64">
        <v>1</v>
      </c>
      <c r="H64" t="s">
        <v>130</v>
      </c>
      <c r="I64" t="s">
        <v>131</v>
      </c>
      <c r="J64">
        <v>3</v>
      </c>
    </row>
    <row r="65" spans="1:10" x14ac:dyDescent="0.25">
      <c r="A65" t="s">
        <v>186</v>
      </c>
      <c r="B65" t="s">
        <v>423</v>
      </c>
      <c r="C65" t="s">
        <v>567</v>
      </c>
      <c r="D65" t="s">
        <v>558</v>
      </c>
      <c r="E65" t="s">
        <v>423</v>
      </c>
      <c r="F65">
        <v>2025</v>
      </c>
      <c r="G65">
        <v>1</v>
      </c>
      <c r="H65" t="s">
        <v>114</v>
      </c>
      <c r="I65" t="s">
        <v>115</v>
      </c>
      <c r="J65">
        <v>3</v>
      </c>
    </row>
    <row r="66" spans="1:10" x14ac:dyDescent="0.25">
      <c r="A66" t="s">
        <v>186</v>
      </c>
      <c r="B66" t="s">
        <v>423</v>
      </c>
      <c r="C66" t="s">
        <v>567</v>
      </c>
      <c r="D66" t="s">
        <v>558</v>
      </c>
      <c r="E66" t="s">
        <v>423</v>
      </c>
      <c r="F66">
        <v>2025</v>
      </c>
      <c r="G66">
        <v>1</v>
      </c>
      <c r="H66" t="s">
        <v>143</v>
      </c>
      <c r="I66" t="s">
        <v>144</v>
      </c>
      <c r="J66">
        <v>3</v>
      </c>
    </row>
    <row r="67" spans="1:10" x14ac:dyDescent="0.25">
      <c r="A67" t="s">
        <v>186</v>
      </c>
      <c r="B67" t="s">
        <v>423</v>
      </c>
      <c r="C67" t="s">
        <v>567</v>
      </c>
      <c r="D67" t="s">
        <v>558</v>
      </c>
      <c r="E67" t="s">
        <v>423</v>
      </c>
      <c r="F67">
        <v>2025</v>
      </c>
      <c r="G67">
        <v>1</v>
      </c>
      <c r="H67" t="s">
        <v>189</v>
      </c>
      <c r="I67" t="s">
        <v>190</v>
      </c>
      <c r="J67">
        <v>3</v>
      </c>
    </row>
    <row r="68" spans="1:10" x14ac:dyDescent="0.25">
      <c r="A68" t="s">
        <v>186</v>
      </c>
      <c r="B68" t="s">
        <v>423</v>
      </c>
      <c r="C68" t="s">
        <v>567</v>
      </c>
      <c r="D68" t="s">
        <v>558</v>
      </c>
      <c r="E68" t="s">
        <v>423</v>
      </c>
      <c r="F68">
        <v>2025</v>
      </c>
      <c r="G68">
        <v>1</v>
      </c>
      <c r="H68" t="s">
        <v>191</v>
      </c>
      <c r="I68" t="s">
        <v>192</v>
      </c>
      <c r="J68">
        <v>3</v>
      </c>
    </row>
    <row r="69" spans="1:10" x14ac:dyDescent="0.25">
      <c r="A69" t="s">
        <v>186</v>
      </c>
      <c r="B69" t="s">
        <v>423</v>
      </c>
      <c r="C69" t="s">
        <v>567</v>
      </c>
      <c r="D69" t="s">
        <v>558</v>
      </c>
      <c r="E69" t="s">
        <v>423</v>
      </c>
      <c r="F69">
        <v>2025</v>
      </c>
      <c r="G69">
        <v>1</v>
      </c>
      <c r="H69" t="s">
        <v>193</v>
      </c>
      <c r="I69" t="s">
        <v>194</v>
      </c>
      <c r="J69">
        <v>3</v>
      </c>
    </row>
    <row r="70" spans="1:10" x14ac:dyDescent="0.25">
      <c r="A70" t="s">
        <v>186</v>
      </c>
      <c r="B70" t="s">
        <v>423</v>
      </c>
      <c r="C70" t="s">
        <v>567</v>
      </c>
      <c r="D70" t="s">
        <v>558</v>
      </c>
      <c r="E70" t="s">
        <v>423</v>
      </c>
      <c r="F70">
        <v>2025</v>
      </c>
      <c r="G70">
        <v>1</v>
      </c>
      <c r="H70" t="s">
        <v>54</v>
      </c>
      <c r="I70" t="s">
        <v>55</v>
      </c>
      <c r="J70">
        <v>3</v>
      </c>
    </row>
    <row r="71" spans="1:10" x14ac:dyDescent="0.25">
      <c r="A71" t="s">
        <v>186</v>
      </c>
      <c r="B71" t="s">
        <v>423</v>
      </c>
      <c r="C71" t="s">
        <v>567</v>
      </c>
      <c r="D71" t="s">
        <v>558</v>
      </c>
      <c r="E71" t="s">
        <v>423</v>
      </c>
      <c r="F71">
        <v>2025</v>
      </c>
      <c r="G71">
        <v>1</v>
      </c>
      <c r="H71" t="s">
        <v>56</v>
      </c>
      <c r="I71" t="s">
        <v>57</v>
      </c>
      <c r="J71">
        <v>3</v>
      </c>
    </row>
    <row r="72" spans="1:10" x14ac:dyDescent="0.25">
      <c r="A72" t="s">
        <v>186</v>
      </c>
      <c r="B72" t="s">
        <v>423</v>
      </c>
      <c r="C72" t="s">
        <v>567</v>
      </c>
      <c r="D72" t="s">
        <v>558</v>
      </c>
      <c r="E72" t="s">
        <v>423</v>
      </c>
      <c r="F72">
        <v>2025</v>
      </c>
      <c r="G72">
        <v>1</v>
      </c>
      <c r="H72" t="s">
        <v>58</v>
      </c>
      <c r="I72" t="s">
        <v>59</v>
      </c>
      <c r="J72">
        <v>3</v>
      </c>
    </row>
    <row r="73" spans="1:10" x14ac:dyDescent="0.25">
      <c r="A73" t="s">
        <v>186</v>
      </c>
      <c r="B73" t="s">
        <v>423</v>
      </c>
      <c r="C73" t="s">
        <v>567</v>
      </c>
      <c r="D73" t="s">
        <v>558</v>
      </c>
      <c r="E73" t="s">
        <v>423</v>
      </c>
      <c r="F73">
        <v>2025</v>
      </c>
      <c r="G73">
        <v>1</v>
      </c>
      <c r="H73" t="s">
        <v>116</v>
      </c>
      <c r="I73" t="s">
        <v>117</v>
      </c>
      <c r="J73">
        <v>3</v>
      </c>
    </row>
    <row r="74" spans="1:10" x14ac:dyDescent="0.25">
      <c r="A74" t="s">
        <v>198</v>
      </c>
      <c r="B74" t="s">
        <v>424</v>
      </c>
      <c r="C74" t="s">
        <v>568</v>
      </c>
      <c r="D74" t="s">
        <v>558</v>
      </c>
      <c r="E74" t="s">
        <v>424</v>
      </c>
      <c r="F74">
        <v>2025</v>
      </c>
      <c r="G74">
        <v>1</v>
      </c>
      <c r="H74" t="s">
        <v>195</v>
      </c>
      <c r="I74" t="s">
        <v>60</v>
      </c>
      <c r="J74">
        <v>3</v>
      </c>
    </row>
    <row r="75" spans="1:10" x14ac:dyDescent="0.25">
      <c r="A75" t="s">
        <v>198</v>
      </c>
      <c r="B75" t="s">
        <v>424</v>
      </c>
      <c r="C75" t="s">
        <v>568</v>
      </c>
      <c r="D75" t="s">
        <v>558</v>
      </c>
      <c r="E75" t="s">
        <v>424</v>
      </c>
      <c r="F75">
        <v>2025</v>
      </c>
      <c r="G75">
        <v>1</v>
      </c>
      <c r="H75" t="s">
        <v>199</v>
      </c>
      <c r="I75" t="s">
        <v>200</v>
      </c>
      <c r="J75">
        <v>3</v>
      </c>
    </row>
    <row r="76" spans="1:10" x14ac:dyDescent="0.25">
      <c r="A76" t="s">
        <v>198</v>
      </c>
      <c r="B76" t="s">
        <v>424</v>
      </c>
      <c r="C76" t="s">
        <v>568</v>
      </c>
      <c r="D76" t="s">
        <v>558</v>
      </c>
      <c r="E76" t="s">
        <v>424</v>
      </c>
      <c r="F76">
        <v>2025</v>
      </c>
      <c r="G76">
        <v>1</v>
      </c>
      <c r="H76" t="s">
        <v>196</v>
      </c>
      <c r="I76" t="s">
        <v>197</v>
      </c>
      <c r="J76">
        <v>2</v>
      </c>
    </row>
    <row r="77" spans="1:10" x14ac:dyDescent="0.25">
      <c r="A77" t="s">
        <v>198</v>
      </c>
      <c r="B77" t="s">
        <v>424</v>
      </c>
      <c r="C77" t="s">
        <v>568</v>
      </c>
      <c r="D77" t="s">
        <v>558</v>
      </c>
      <c r="E77" t="s">
        <v>424</v>
      </c>
      <c r="F77">
        <v>2025</v>
      </c>
      <c r="G77">
        <v>1</v>
      </c>
      <c r="H77" t="s">
        <v>65</v>
      </c>
      <c r="I77" t="s">
        <v>66</v>
      </c>
      <c r="J77">
        <v>3</v>
      </c>
    </row>
    <row r="78" spans="1:10" x14ac:dyDescent="0.25">
      <c r="A78" t="s">
        <v>198</v>
      </c>
      <c r="B78" t="s">
        <v>424</v>
      </c>
      <c r="C78" t="s">
        <v>568</v>
      </c>
      <c r="D78" t="s">
        <v>558</v>
      </c>
      <c r="E78" t="s">
        <v>424</v>
      </c>
      <c r="F78">
        <v>2025</v>
      </c>
      <c r="G78">
        <v>1</v>
      </c>
      <c r="H78" t="s">
        <v>191</v>
      </c>
      <c r="I78" t="s">
        <v>192</v>
      </c>
      <c r="J78">
        <v>3</v>
      </c>
    </row>
    <row r="79" spans="1:10" x14ac:dyDescent="0.25">
      <c r="A79" t="s">
        <v>198</v>
      </c>
      <c r="B79" t="s">
        <v>424</v>
      </c>
      <c r="C79" t="s">
        <v>568</v>
      </c>
      <c r="D79" t="s">
        <v>558</v>
      </c>
      <c r="E79" t="s">
        <v>424</v>
      </c>
      <c r="F79">
        <v>2025</v>
      </c>
      <c r="G79">
        <v>1</v>
      </c>
      <c r="H79" t="s">
        <v>56</v>
      </c>
      <c r="I79" t="s">
        <v>57</v>
      </c>
      <c r="J79">
        <v>3</v>
      </c>
    </row>
    <row r="80" spans="1:10" x14ac:dyDescent="0.25">
      <c r="A80" t="s">
        <v>198</v>
      </c>
      <c r="B80" t="s">
        <v>424</v>
      </c>
      <c r="C80" t="s">
        <v>568</v>
      </c>
      <c r="D80" t="s">
        <v>558</v>
      </c>
      <c r="E80" t="s">
        <v>424</v>
      </c>
      <c r="F80">
        <v>2025</v>
      </c>
      <c r="G80">
        <v>1</v>
      </c>
      <c r="H80" t="s">
        <v>187</v>
      </c>
      <c r="I80" t="s">
        <v>188</v>
      </c>
      <c r="J80">
        <v>3</v>
      </c>
    </row>
    <row r="81" spans="1:10" x14ac:dyDescent="0.25">
      <c r="A81" t="s">
        <v>198</v>
      </c>
      <c r="B81" t="s">
        <v>424</v>
      </c>
      <c r="C81" t="s">
        <v>568</v>
      </c>
      <c r="D81" t="s">
        <v>558</v>
      </c>
      <c r="E81" t="s">
        <v>424</v>
      </c>
      <c r="F81">
        <v>2025</v>
      </c>
      <c r="G81">
        <v>1</v>
      </c>
      <c r="H81" t="s">
        <v>189</v>
      </c>
      <c r="I81" t="s">
        <v>190</v>
      </c>
      <c r="J81">
        <v>3</v>
      </c>
    </row>
    <row r="82" spans="1:10" x14ac:dyDescent="0.25">
      <c r="A82" t="s">
        <v>198</v>
      </c>
      <c r="B82" t="s">
        <v>424</v>
      </c>
      <c r="C82" t="s">
        <v>568</v>
      </c>
      <c r="D82" t="s">
        <v>558</v>
      </c>
      <c r="E82" t="s">
        <v>424</v>
      </c>
      <c r="F82">
        <v>2025</v>
      </c>
      <c r="G82">
        <v>1</v>
      </c>
      <c r="H82" t="s">
        <v>116</v>
      </c>
      <c r="I82" t="s">
        <v>117</v>
      </c>
      <c r="J82">
        <v>3</v>
      </c>
    </row>
    <row r="83" spans="1:10" x14ac:dyDescent="0.25">
      <c r="A83" t="s">
        <v>202</v>
      </c>
      <c r="B83" t="s">
        <v>425</v>
      </c>
      <c r="C83" t="s">
        <v>569</v>
      </c>
      <c r="D83" t="s">
        <v>558</v>
      </c>
      <c r="E83" t="s">
        <v>425</v>
      </c>
      <c r="F83">
        <v>2025</v>
      </c>
      <c r="G83">
        <v>1</v>
      </c>
      <c r="H83" t="s">
        <v>214</v>
      </c>
      <c r="I83" t="s">
        <v>215</v>
      </c>
      <c r="J83">
        <v>3</v>
      </c>
    </row>
    <row r="84" spans="1:10" x14ac:dyDescent="0.25">
      <c r="A84" t="s">
        <v>202</v>
      </c>
      <c r="B84" t="s">
        <v>425</v>
      </c>
      <c r="C84" t="s">
        <v>569</v>
      </c>
      <c r="D84" t="s">
        <v>558</v>
      </c>
      <c r="E84" t="s">
        <v>425</v>
      </c>
      <c r="F84">
        <v>2025</v>
      </c>
      <c r="G84">
        <v>1</v>
      </c>
      <c r="H84" t="s">
        <v>216</v>
      </c>
      <c r="I84" t="s">
        <v>217</v>
      </c>
      <c r="J84">
        <v>3</v>
      </c>
    </row>
    <row r="85" spans="1:10" x14ac:dyDescent="0.25">
      <c r="A85" t="s">
        <v>202</v>
      </c>
      <c r="B85" t="s">
        <v>425</v>
      </c>
      <c r="C85" t="s">
        <v>569</v>
      </c>
      <c r="D85" t="s">
        <v>558</v>
      </c>
      <c r="E85" t="s">
        <v>425</v>
      </c>
      <c r="F85">
        <v>2025</v>
      </c>
      <c r="G85">
        <v>1</v>
      </c>
      <c r="H85" t="s">
        <v>218</v>
      </c>
      <c r="I85" t="s">
        <v>219</v>
      </c>
      <c r="J85">
        <v>3</v>
      </c>
    </row>
    <row r="86" spans="1:10" x14ac:dyDescent="0.25">
      <c r="A86" t="s">
        <v>202</v>
      </c>
      <c r="B86" t="s">
        <v>425</v>
      </c>
      <c r="C86" t="s">
        <v>569</v>
      </c>
      <c r="D86" t="s">
        <v>558</v>
      </c>
      <c r="E86" t="s">
        <v>425</v>
      </c>
      <c r="F86">
        <v>2025</v>
      </c>
      <c r="G86">
        <v>1</v>
      </c>
      <c r="H86" t="s">
        <v>220</v>
      </c>
      <c r="I86" t="s">
        <v>221</v>
      </c>
      <c r="J86">
        <v>3</v>
      </c>
    </row>
    <row r="87" spans="1:10" x14ac:dyDescent="0.25">
      <c r="A87" t="s">
        <v>202</v>
      </c>
      <c r="B87" t="s">
        <v>425</v>
      </c>
      <c r="C87" t="s">
        <v>569</v>
      </c>
      <c r="D87" t="s">
        <v>558</v>
      </c>
      <c r="E87" t="s">
        <v>425</v>
      </c>
      <c r="F87">
        <v>2025</v>
      </c>
      <c r="G87">
        <v>1</v>
      </c>
      <c r="H87" t="s">
        <v>222</v>
      </c>
      <c r="I87" t="s">
        <v>197</v>
      </c>
      <c r="J87">
        <v>3</v>
      </c>
    </row>
    <row r="88" spans="1:10" x14ac:dyDescent="0.25">
      <c r="A88" t="s">
        <v>202</v>
      </c>
      <c r="B88" t="s">
        <v>425</v>
      </c>
      <c r="C88" t="s">
        <v>569</v>
      </c>
      <c r="D88" t="s">
        <v>558</v>
      </c>
      <c r="E88" t="s">
        <v>425</v>
      </c>
      <c r="F88">
        <v>2025</v>
      </c>
      <c r="G88">
        <v>1</v>
      </c>
      <c r="H88" t="s">
        <v>223</v>
      </c>
      <c r="I88" t="s">
        <v>39</v>
      </c>
      <c r="J88">
        <v>3</v>
      </c>
    </row>
    <row r="89" spans="1:10" x14ac:dyDescent="0.25">
      <c r="A89" t="s">
        <v>202</v>
      </c>
      <c r="B89" t="s">
        <v>425</v>
      </c>
      <c r="C89" t="s">
        <v>569</v>
      </c>
      <c r="D89" t="s">
        <v>558</v>
      </c>
      <c r="E89" t="s">
        <v>425</v>
      </c>
      <c r="F89">
        <v>2025</v>
      </c>
      <c r="G89">
        <v>1</v>
      </c>
      <c r="H89" t="s">
        <v>224</v>
      </c>
      <c r="I89" t="s">
        <v>41</v>
      </c>
      <c r="J89">
        <v>3</v>
      </c>
    </row>
    <row r="90" spans="1:10" x14ac:dyDescent="0.25">
      <c r="A90" t="s">
        <v>202</v>
      </c>
      <c r="B90" t="s">
        <v>425</v>
      </c>
      <c r="C90" t="s">
        <v>569</v>
      </c>
      <c r="D90" t="s">
        <v>558</v>
      </c>
      <c r="E90" t="s">
        <v>425</v>
      </c>
      <c r="F90">
        <v>2025</v>
      </c>
      <c r="G90">
        <v>1</v>
      </c>
      <c r="H90" t="s">
        <v>225</v>
      </c>
      <c r="I90" t="s">
        <v>128</v>
      </c>
      <c r="J90">
        <v>3</v>
      </c>
    </row>
    <row r="91" spans="1:10" x14ac:dyDescent="0.25">
      <c r="A91" t="s">
        <v>202</v>
      </c>
      <c r="B91" t="s">
        <v>425</v>
      </c>
      <c r="C91" t="s">
        <v>569</v>
      </c>
      <c r="D91" t="s">
        <v>558</v>
      </c>
      <c r="E91" t="s">
        <v>425</v>
      </c>
      <c r="F91">
        <v>2025</v>
      </c>
      <c r="G91">
        <v>1</v>
      </c>
      <c r="H91" t="s">
        <v>226</v>
      </c>
      <c r="I91" t="s">
        <v>51</v>
      </c>
      <c r="J91">
        <v>3</v>
      </c>
    </row>
    <row r="92" spans="1:10" x14ac:dyDescent="0.25">
      <c r="A92" t="s">
        <v>228</v>
      </c>
      <c r="B92" t="s">
        <v>426</v>
      </c>
      <c r="C92" t="s">
        <v>570</v>
      </c>
      <c r="D92" t="s">
        <v>558</v>
      </c>
      <c r="E92" t="s">
        <v>426</v>
      </c>
      <c r="F92">
        <v>2025</v>
      </c>
      <c r="G92">
        <v>1</v>
      </c>
      <c r="H92" t="s">
        <v>46</v>
      </c>
      <c r="I92" t="s">
        <v>47</v>
      </c>
      <c r="J92">
        <v>3</v>
      </c>
    </row>
    <row r="93" spans="1:10" x14ac:dyDescent="0.25">
      <c r="A93" t="s">
        <v>228</v>
      </c>
      <c r="B93" t="s">
        <v>426</v>
      </c>
      <c r="C93" t="s">
        <v>570</v>
      </c>
      <c r="D93" t="s">
        <v>558</v>
      </c>
      <c r="E93" t="s">
        <v>426</v>
      </c>
      <c r="F93">
        <v>2025</v>
      </c>
      <c r="G93">
        <v>1</v>
      </c>
      <c r="H93" t="s">
        <v>149</v>
      </c>
      <c r="I93" t="s">
        <v>150</v>
      </c>
      <c r="J93">
        <v>3</v>
      </c>
    </row>
    <row r="94" spans="1:10" x14ac:dyDescent="0.25">
      <c r="A94" t="s">
        <v>228</v>
      </c>
      <c r="B94" t="s">
        <v>426</v>
      </c>
      <c r="C94" t="s">
        <v>570</v>
      </c>
      <c r="D94" t="s">
        <v>558</v>
      </c>
      <c r="E94" t="s">
        <v>426</v>
      </c>
      <c r="F94">
        <v>2025</v>
      </c>
      <c r="G94">
        <v>1</v>
      </c>
      <c r="H94" t="s">
        <v>181</v>
      </c>
      <c r="I94" t="s">
        <v>182</v>
      </c>
      <c r="J94">
        <v>3</v>
      </c>
    </row>
    <row r="95" spans="1:10" x14ac:dyDescent="0.25">
      <c r="A95" t="s">
        <v>228</v>
      </c>
      <c r="B95" t="s">
        <v>426</v>
      </c>
      <c r="C95" t="s">
        <v>570</v>
      </c>
      <c r="D95" t="s">
        <v>558</v>
      </c>
      <c r="E95" t="s">
        <v>426</v>
      </c>
      <c r="F95">
        <v>2025</v>
      </c>
      <c r="G95">
        <v>1</v>
      </c>
      <c r="H95" t="s">
        <v>99</v>
      </c>
      <c r="I95" t="s">
        <v>100</v>
      </c>
      <c r="J95">
        <v>3</v>
      </c>
    </row>
    <row r="96" spans="1:10" x14ac:dyDescent="0.25">
      <c r="A96" t="s">
        <v>228</v>
      </c>
      <c r="B96" t="s">
        <v>426</v>
      </c>
      <c r="C96" t="s">
        <v>570</v>
      </c>
      <c r="D96" t="s">
        <v>558</v>
      </c>
      <c r="E96" t="s">
        <v>426</v>
      </c>
      <c r="F96">
        <v>2025</v>
      </c>
      <c r="G96">
        <v>1</v>
      </c>
      <c r="H96" t="s">
        <v>235</v>
      </c>
      <c r="I96" t="s">
        <v>236</v>
      </c>
      <c r="J96">
        <v>3</v>
      </c>
    </row>
    <row r="97" spans="1:10" x14ac:dyDescent="0.25">
      <c r="A97" t="s">
        <v>228</v>
      </c>
      <c r="B97" t="s">
        <v>426</v>
      </c>
      <c r="C97" t="s">
        <v>570</v>
      </c>
      <c r="D97" t="s">
        <v>558</v>
      </c>
      <c r="E97" t="s">
        <v>426</v>
      </c>
      <c r="F97">
        <v>2025</v>
      </c>
      <c r="G97">
        <v>1</v>
      </c>
      <c r="H97" t="s">
        <v>237</v>
      </c>
      <c r="I97" t="s">
        <v>238</v>
      </c>
      <c r="J97">
        <v>3</v>
      </c>
    </row>
    <row r="98" spans="1:10" x14ac:dyDescent="0.25">
      <c r="A98" t="s">
        <v>228</v>
      </c>
      <c r="B98" t="s">
        <v>426</v>
      </c>
      <c r="C98" t="s">
        <v>570</v>
      </c>
      <c r="D98" t="s">
        <v>558</v>
      </c>
      <c r="E98" t="s">
        <v>426</v>
      </c>
      <c r="F98">
        <v>2025</v>
      </c>
      <c r="G98">
        <v>1</v>
      </c>
      <c r="H98" t="s">
        <v>239</v>
      </c>
      <c r="I98" t="s">
        <v>240</v>
      </c>
      <c r="J98">
        <v>3</v>
      </c>
    </row>
    <row r="99" spans="1:10" x14ac:dyDescent="0.25">
      <c r="A99" t="s">
        <v>228</v>
      </c>
      <c r="B99" t="s">
        <v>426</v>
      </c>
      <c r="C99" t="s">
        <v>570</v>
      </c>
      <c r="D99" t="s">
        <v>558</v>
      </c>
      <c r="E99" t="s">
        <v>426</v>
      </c>
      <c r="F99">
        <v>2025</v>
      </c>
      <c r="G99">
        <v>1</v>
      </c>
      <c r="H99" t="s">
        <v>241</v>
      </c>
      <c r="I99" t="s">
        <v>242</v>
      </c>
      <c r="J99">
        <v>3</v>
      </c>
    </row>
    <row r="100" spans="1:10" x14ac:dyDescent="0.25">
      <c r="A100" t="s">
        <v>243</v>
      </c>
      <c r="B100" t="s">
        <v>427</v>
      </c>
      <c r="C100" t="s">
        <v>571</v>
      </c>
      <c r="D100" t="s">
        <v>558</v>
      </c>
      <c r="E100" t="s">
        <v>427</v>
      </c>
      <c r="F100">
        <v>2025</v>
      </c>
      <c r="G100">
        <v>1</v>
      </c>
      <c r="H100" t="s">
        <v>46</v>
      </c>
      <c r="I100" t="s">
        <v>47</v>
      </c>
      <c r="J100">
        <v>3</v>
      </c>
    </row>
    <row r="101" spans="1:10" x14ac:dyDescent="0.25">
      <c r="A101" t="s">
        <v>243</v>
      </c>
      <c r="B101" t="s">
        <v>427</v>
      </c>
      <c r="C101" t="s">
        <v>571</v>
      </c>
      <c r="D101" t="s">
        <v>558</v>
      </c>
      <c r="E101" t="s">
        <v>427</v>
      </c>
      <c r="F101">
        <v>2025</v>
      </c>
      <c r="G101">
        <v>1</v>
      </c>
      <c r="H101" t="s">
        <v>149</v>
      </c>
      <c r="I101" t="s">
        <v>150</v>
      </c>
      <c r="J101">
        <v>3</v>
      </c>
    </row>
    <row r="102" spans="1:10" x14ac:dyDescent="0.25">
      <c r="A102" t="s">
        <v>243</v>
      </c>
      <c r="B102" t="s">
        <v>427</v>
      </c>
      <c r="C102" t="s">
        <v>571</v>
      </c>
      <c r="D102" t="s">
        <v>558</v>
      </c>
      <c r="E102" t="s">
        <v>427</v>
      </c>
      <c r="F102">
        <v>2025</v>
      </c>
      <c r="G102">
        <v>1</v>
      </c>
      <c r="H102" t="s">
        <v>99</v>
      </c>
      <c r="I102" t="s">
        <v>100</v>
      </c>
      <c r="J102">
        <v>3</v>
      </c>
    </row>
    <row r="103" spans="1:10" x14ac:dyDescent="0.25">
      <c r="A103" t="s">
        <v>243</v>
      </c>
      <c r="B103" t="s">
        <v>427</v>
      </c>
      <c r="C103" t="s">
        <v>571</v>
      </c>
      <c r="D103" t="s">
        <v>558</v>
      </c>
      <c r="E103" t="s">
        <v>427</v>
      </c>
      <c r="F103">
        <v>2025</v>
      </c>
      <c r="G103">
        <v>1</v>
      </c>
      <c r="H103" t="s">
        <v>235</v>
      </c>
      <c r="I103" t="s">
        <v>236</v>
      </c>
      <c r="J103">
        <v>3</v>
      </c>
    </row>
    <row r="104" spans="1:10" x14ac:dyDescent="0.25">
      <c r="A104" t="s">
        <v>243</v>
      </c>
      <c r="B104" t="s">
        <v>427</v>
      </c>
      <c r="C104" t="s">
        <v>571</v>
      </c>
      <c r="D104" t="s">
        <v>558</v>
      </c>
      <c r="E104" t="s">
        <v>427</v>
      </c>
      <c r="F104">
        <v>2025</v>
      </c>
      <c r="G104">
        <v>1</v>
      </c>
      <c r="H104" t="s">
        <v>246</v>
      </c>
      <c r="I104" t="s">
        <v>247</v>
      </c>
      <c r="J104">
        <v>3</v>
      </c>
    </row>
    <row r="105" spans="1:10" x14ac:dyDescent="0.25">
      <c r="A105" t="s">
        <v>243</v>
      </c>
      <c r="B105" t="s">
        <v>427</v>
      </c>
      <c r="C105" t="s">
        <v>571</v>
      </c>
      <c r="D105" t="s">
        <v>558</v>
      </c>
      <c r="E105" t="s">
        <v>427</v>
      </c>
      <c r="F105">
        <v>2025</v>
      </c>
      <c r="G105">
        <v>1</v>
      </c>
      <c r="H105" t="s">
        <v>248</v>
      </c>
      <c r="I105" t="s">
        <v>249</v>
      </c>
      <c r="J105">
        <v>3</v>
      </c>
    </row>
    <row r="106" spans="1:10" x14ac:dyDescent="0.25">
      <c r="A106" t="s">
        <v>252</v>
      </c>
      <c r="B106" t="s">
        <v>428</v>
      </c>
      <c r="C106" t="s">
        <v>572</v>
      </c>
      <c r="D106" t="s">
        <v>558</v>
      </c>
      <c r="E106" t="s">
        <v>428</v>
      </c>
      <c r="F106">
        <v>2025</v>
      </c>
      <c r="G106">
        <v>1</v>
      </c>
      <c r="H106" t="s">
        <v>130</v>
      </c>
      <c r="I106" t="s">
        <v>131</v>
      </c>
      <c r="J106">
        <v>3</v>
      </c>
    </row>
    <row r="107" spans="1:10" x14ac:dyDescent="0.25">
      <c r="A107" t="s">
        <v>252</v>
      </c>
      <c r="B107" t="s">
        <v>428</v>
      </c>
      <c r="C107" t="s">
        <v>572</v>
      </c>
      <c r="D107" t="s">
        <v>558</v>
      </c>
      <c r="E107" t="s">
        <v>428</v>
      </c>
      <c r="F107">
        <v>2025</v>
      </c>
      <c r="G107">
        <v>1</v>
      </c>
      <c r="H107" t="s">
        <v>114</v>
      </c>
      <c r="I107" t="s">
        <v>115</v>
      </c>
      <c r="J107">
        <v>3</v>
      </c>
    </row>
    <row r="108" spans="1:10" x14ac:dyDescent="0.25">
      <c r="A108" t="s">
        <v>252</v>
      </c>
      <c r="B108" t="s">
        <v>428</v>
      </c>
      <c r="C108" t="s">
        <v>572</v>
      </c>
      <c r="D108" t="s">
        <v>558</v>
      </c>
      <c r="E108" t="s">
        <v>428</v>
      </c>
      <c r="F108">
        <v>2025</v>
      </c>
      <c r="G108">
        <v>1</v>
      </c>
      <c r="H108" t="s">
        <v>143</v>
      </c>
      <c r="I108" t="s">
        <v>144</v>
      </c>
      <c r="J108">
        <v>3</v>
      </c>
    </row>
    <row r="109" spans="1:10" x14ac:dyDescent="0.25">
      <c r="A109" t="s">
        <v>252</v>
      </c>
      <c r="B109" t="s">
        <v>428</v>
      </c>
      <c r="C109" t="s">
        <v>572</v>
      </c>
      <c r="D109" t="s">
        <v>558</v>
      </c>
      <c r="E109" t="s">
        <v>428</v>
      </c>
      <c r="F109">
        <v>2025</v>
      </c>
      <c r="G109">
        <v>1</v>
      </c>
      <c r="H109" t="s">
        <v>63</v>
      </c>
      <c r="I109" t="s">
        <v>64</v>
      </c>
      <c r="J109">
        <v>3</v>
      </c>
    </row>
    <row r="110" spans="1:10" x14ac:dyDescent="0.25">
      <c r="A110" t="s">
        <v>252</v>
      </c>
      <c r="B110" t="s">
        <v>428</v>
      </c>
      <c r="C110" t="s">
        <v>572</v>
      </c>
      <c r="D110" t="s">
        <v>558</v>
      </c>
      <c r="E110" t="s">
        <v>428</v>
      </c>
      <c r="F110">
        <v>2025</v>
      </c>
      <c r="G110">
        <v>1</v>
      </c>
      <c r="H110" t="s">
        <v>189</v>
      </c>
      <c r="I110" t="s">
        <v>190</v>
      </c>
      <c r="J110">
        <v>3</v>
      </c>
    </row>
    <row r="111" spans="1:10" x14ac:dyDescent="0.25">
      <c r="A111" t="s">
        <v>252</v>
      </c>
      <c r="B111" t="s">
        <v>428</v>
      </c>
      <c r="C111" t="s">
        <v>572</v>
      </c>
      <c r="D111" t="s">
        <v>558</v>
      </c>
      <c r="E111" t="s">
        <v>428</v>
      </c>
      <c r="F111">
        <v>2025</v>
      </c>
      <c r="G111">
        <v>1</v>
      </c>
      <c r="H111" t="s">
        <v>54</v>
      </c>
      <c r="I111" t="s">
        <v>55</v>
      </c>
      <c r="J111">
        <v>3</v>
      </c>
    </row>
    <row r="112" spans="1:10" x14ac:dyDescent="0.25">
      <c r="A112" t="s">
        <v>252</v>
      </c>
      <c r="B112" t="s">
        <v>428</v>
      </c>
      <c r="C112" t="s">
        <v>572</v>
      </c>
      <c r="D112" t="s">
        <v>558</v>
      </c>
      <c r="E112" t="s">
        <v>428</v>
      </c>
      <c r="F112">
        <v>2025</v>
      </c>
      <c r="G112">
        <v>1</v>
      </c>
      <c r="H112" t="s">
        <v>56</v>
      </c>
      <c r="I112" t="s">
        <v>57</v>
      </c>
      <c r="J112">
        <v>3</v>
      </c>
    </row>
    <row r="113" spans="1:10" x14ac:dyDescent="0.25">
      <c r="A113" t="s">
        <v>252</v>
      </c>
      <c r="B113" t="s">
        <v>428</v>
      </c>
      <c r="C113" t="s">
        <v>572</v>
      </c>
      <c r="D113" t="s">
        <v>558</v>
      </c>
      <c r="E113" t="s">
        <v>428</v>
      </c>
      <c r="F113">
        <v>2025</v>
      </c>
      <c r="G113">
        <v>1</v>
      </c>
      <c r="H113" t="s">
        <v>58</v>
      </c>
      <c r="I113" t="s">
        <v>59</v>
      </c>
      <c r="J113">
        <v>3</v>
      </c>
    </row>
    <row r="114" spans="1:10" x14ac:dyDescent="0.25">
      <c r="A114" t="s">
        <v>252</v>
      </c>
      <c r="B114" t="s">
        <v>428</v>
      </c>
      <c r="C114" t="s">
        <v>572</v>
      </c>
      <c r="D114" t="s">
        <v>558</v>
      </c>
      <c r="E114" t="s">
        <v>428</v>
      </c>
      <c r="F114">
        <v>2025</v>
      </c>
      <c r="G114">
        <v>1</v>
      </c>
      <c r="H114" t="s">
        <v>116</v>
      </c>
      <c r="I114" t="s">
        <v>117</v>
      </c>
      <c r="J114">
        <v>3</v>
      </c>
    </row>
    <row r="115" spans="1:10" x14ac:dyDescent="0.25">
      <c r="A115" t="s">
        <v>0</v>
      </c>
      <c r="B115" t="s">
        <v>463</v>
      </c>
      <c r="C115" t="s">
        <v>464</v>
      </c>
      <c r="D115" t="s">
        <v>573</v>
      </c>
      <c r="E115" t="s">
        <v>417</v>
      </c>
      <c r="F115">
        <v>2025</v>
      </c>
      <c r="G115">
        <v>1</v>
      </c>
      <c r="H115" t="s">
        <v>24</v>
      </c>
      <c r="I115" t="s">
        <v>25</v>
      </c>
      <c r="J115">
        <v>3</v>
      </c>
    </row>
    <row r="116" spans="1:10" x14ac:dyDescent="0.25">
      <c r="A116" t="s">
        <v>0</v>
      </c>
      <c r="B116" t="s">
        <v>463</v>
      </c>
      <c r="C116" t="s">
        <v>464</v>
      </c>
      <c r="D116" t="s">
        <v>573</v>
      </c>
      <c r="E116" t="s">
        <v>417</v>
      </c>
      <c r="F116">
        <v>2025</v>
      </c>
      <c r="G116">
        <v>1</v>
      </c>
      <c r="H116" t="s">
        <v>26</v>
      </c>
      <c r="I116" t="s">
        <v>27</v>
      </c>
      <c r="J116">
        <v>3</v>
      </c>
    </row>
    <row r="117" spans="1:10" x14ac:dyDescent="0.25">
      <c r="A117" t="s">
        <v>0</v>
      </c>
      <c r="B117" t="s">
        <v>463</v>
      </c>
      <c r="C117" t="s">
        <v>464</v>
      </c>
      <c r="D117" t="s">
        <v>573</v>
      </c>
      <c r="E117" t="s">
        <v>417</v>
      </c>
      <c r="F117">
        <v>2025</v>
      </c>
      <c r="G117">
        <v>1</v>
      </c>
      <c r="H117" t="s">
        <v>28</v>
      </c>
      <c r="I117" t="s">
        <v>29</v>
      </c>
      <c r="J117">
        <v>3</v>
      </c>
    </row>
    <row r="118" spans="1:10" x14ac:dyDescent="0.25">
      <c r="A118" t="s">
        <v>0</v>
      </c>
      <c r="B118" t="s">
        <v>463</v>
      </c>
      <c r="C118" t="s">
        <v>464</v>
      </c>
      <c r="D118" t="s">
        <v>573</v>
      </c>
      <c r="E118" t="s">
        <v>417</v>
      </c>
      <c r="F118">
        <v>2025</v>
      </c>
      <c r="G118">
        <v>1</v>
      </c>
      <c r="H118" t="s">
        <v>30</v>
      </c>
      <c r="I118" t="s">
        <v>31</v>
      </c>
      <c r="J118">
        <v>3</v>
      </c>
    </row>
    <row r="119" spans="1:10" x14ac:dyDescent="0.25">
      <c r="A119" t="s">
        <v>0</v>
      </c>
      <c r="B119" t="s">
        <v>463</v>
      </c>
      <c r="C119" t="s">
        <v>464</v>
      </c>
      <c r="D119" t="s">
        <v>573</v>
      </c>
      <c r="E119" t="s">
        <v>417</v>
      </c>
      <c r="F119">
        <v>2025</v>
      </c>
      <c r="G119">
        <v>1</v>
      </c>
      <c r="H119" t="s">
        <v>32</v>
      </c>
      <c r="I119" t="s">
        <v>33</v>
      </c>
      <c r="J119">
        <v>2</v>
      </c>
    </row>
    <row r="120" spans="1:10" x14ac:dyDescent="0.25">
      <c r="A120" t="s">
        <v>0</v>
      </c>
      <c r="B120" t="s">
        <v>463</v>
      </c>
      <c r="C120" t="s">
        <v>464</v>
      </c>
      <c r="D120" t="s">
        <v>573</v>
      </c>
      <c r="E120" t="s">
        <v>417</v>
      </c>
      <c r="F120">
        <v>2025</v>
      </c>
      <c r="G120">
        <v>1</v>
      </c>
      <c r="H120" t="s">
        <v>34</v>
      </c>
      <c r="I120" t="s">
        <v>35</v>
      </c>
      <c r="J120">
        <v>2</v>
      </c>
    </row>
    <row r="121" spans="1:10" x14ac:dyDescent="0.25">
      <c r="A121" t="s">
        <v>68</v>
      </c>
      <c r="B121" t="s">
        <v>465</v>
      </c>
      <c r="C121" t="s">
        <v>466</v>
      </c>
      <c r="D121" t="s">
        <v>573</v>
      </c>
      <c r="E121" t="s">
        <v>418</v>
      </c>
      <c r="F121">
        <v>2025</v>
      </c>
      <c r="G121">
        <v>1</v>
      </c>
      <c r="H121" t="s">
        <v>17</v>
      </c>
      <c r="I121" t="s">
        <v>18</v>
      </c>
      <c r="J121">
        <v>3</v>
      </c>
    </row>
    <row r="122" spans="1:10" x14ac:dyDescent="0.25">
      <c r="A122" t="s">
        <v>68</v>
      </c>
      <c r="B122" t="s">
        <v>465</v>
      </c>
      <c r="C122" t="s">
        <v>466</v>
      </c>
      <c r="D122" t="s">
        <v>573</v>
      </c>
      <c r="E122" t="s">
        <v>418</v>
      </c>
      <c r="F122">
        <v>2025</v>
      </c>
      <c r="G122">
        <v>1</v>
      </c>
      <c r="H122" t="s">
        <v>77</v>
      </c>
      <c r="I122" t="s">
        <v>78</v>
      </c>
      <c r="J122">
        <v>3</v>
      </c>
    </row>
    <row r="123" spans="1:10" x14ac:dyDescent="0.25">
      <c r="A123" t="s">
        <v>68</v>
      </c>
      <c r="B123" t="s">
        <v>465</v>
      </c>
      <c r="C123" t="s">
        <v>466</v>
      </c>
      <c r="D123" t="s">
        <v>573</v>
      </c>
      <c r="E123" t="s">
        <v>418</v>
      </c>
      <c r="F123">
        <v>2025</v>
      </c>
      <c r="G123">
        <v>1</v>
      </c>
      <c r="H123" t="s">
        <v>34</v>
      </c>
      <c r="I123" t="s">
        <v>35</v>
      </c>
      <c r="J123">
        <v>2</v>
      </c>
    </row>
    <row r="124" spans="1:10" x14ac:dyDescent="0.25">
      <c r="A124" t="s">
        <v>68</v>
      </c>
      <c r="B124" t="s">
        <v>465</v>
      </c>
      <c r="C124" t="s">
        <v>466</v>
      </c>
      <c r="D124" t="s">
        <v>573</v>
      </c>
      <c r="E124" t="s">
        <v>418</v>
      </c>
      <c r="F124">
        <v>2025</v>
      </c>
      <c r="G124">
        <v>1</v>
      </c>
      <c r="H124" t="s">
        <v>1</v>
      </c>
      <c r="I124" t="s">
        <v>2</v>
      </c>
      <c r="J124">
        <v>1</v>
      </c>
    </row>
    <row r="125" spans="1:10" x14ac:dyDescent="0.25">
      <c r="A125" t="s">
        <v>68</v>
      </c>
      <c r="B125" t="s">
        <v>465</v>
      </c>
      <c r="C125" t="s">
        <v>466</v>
      </c>
      <c r="D125" t="s">
        <v>573</v>
      </c>
      <c r="E125" t="s">
        <v>418</v>
      </c>
      <c r="F125">
        <v>2025</v>
      </c>
      <c r="G125">
        <v>1</v>
      </c>
      <c r="H125" t="s">
        <v>19</v>
      </c>
      <c r="I125" t="s">
        <v>20</v>
      </c>
      <c r="J125">
        <v>3</v>
      </c>
    </row>
    <row r="126" spans="1:10" x14ac:dyDescent="0.25">
      <c r="A126" t="s">
        <v>68</v>
      </c>
      <c r="B126" t="s">
        <v>465</v>
      </c>
      <c r="C126" t="s">
        <v>466</v>
      </c>
      <c r="D126" t="s">
        <v>573</v>
      </c>
      <c r="E126" t="s">
        <v>418</v>
      </c>
      <c r="F126">
        <v>2025</v>
      </c>
      <c r="G126">
        <v>1</v>
      </c>
      <c r="H126" t="s">
        <v>79</v>
      </c>
      <c r="I126" t="s">
        <v>80</v>
      </c>
      <c r="J126">
        <v>2</v>
      </c>
    </row>
    <row r="127" spans="1:10" x14ac:dyDescent="0.25">
      <c r="A127" t="s">
        <v>68</v>
      </c>
      <c r="B127" t="s">
        <v>465</v>
      </c>
      <c r="C127" t="s">
        <v>466</v>
      </c>
      <c r="D127" t="s">
        <v>573</v>
      </c>
      <c r="E127" t="s">
        <v>418</v>
      </c>
      <c r="F127">
        <v>2025</v>
      </c>
      <c r="G127">
        <v>1</v>
      </c>
      <c r="H127" t="s">
        <v>82</v>
      </c>
      <c r="I127" t="s">
        <v>83</v>
      </c>
      <c r="J127">
        <v>2</v>
      </c>
    </row>
    <row r="128" spans="1:10" x14ac:dyDescent="0.25">
      <c r="A128" t="s">
        <v>94</v>
      </c>
      <c r="B128" t="s">
        <v>467</v>
      </c>
      <c r="C128" t="s">
        <v>468</v>
      </c>
      <c r="D128" t="s">
        <v>573</v>
      </c>
      <c r="E128" t="s">
        <v>419</v>
      </c>
      <c r="F128">
        <v>2025</v>
      </c>
      <c r="G128">
        <v>1</v>
      </c>
      <c r="H128" t="s">
        <v>24</v>
      </c>
      <c r="I128" t="s">
        <v>25</v>
      </c>
      <c r="J128">
        <v>3</v>
      </c>
    </row>
    <row r="129" spans="1:10" x14ac:dyDescent="0.25">
      <c r="A129" t="s">
        <v>94</v>
      </c>
      <c r="B129" t="s">
        <v>467</v>
      </c>
      <c r="C129" t="s">
        <v>468</v>
      </c>
      <c r="D129" t="s">
        <v>573</v>
      </c>
      <c r="E129" t="s">
        <v>419</v>
      </c>
      <c r="F129">
        <v>2025</v>
      </c>
      <c r="G129">
        <v>1</v>
      </c>
      <c r="H129" t="s">
        <v>97</v>
      </c>
      <c r="I129" t="s">
        <v>98</v>
      </c>
      <c r="J129">
        <v>3</v>
      </c>
    </row>
    <row r="130" spans="1:10" x14ac:dyDescent="0.25">
      <c r="A130" t="s">
        <v>94</v>
      </c>
      <c r="B130" t="s">
        <v>467</v>
      </c>
      <c r="C130" t="s">
        <v>468</v>
      </c>
      <c r="D130" t="s">
        <v>573</v>
      </c>
      <c r="E130" t="s">
        <v>419</v>
      </c>
      <c r="F130">
        <v>2025</v>
      </c>
      <c r="G130">
        <v>1</v>
      </c>
      <c r="H130" t="s">
        <v>17</v>
      </c>
      <c r="I130" t="s">
        <v>18</v>
      </c>
      <c r="J130">
        <v>3</v>
      </c>
    </row>
    <row r="131" spans="1:10" x14ac:dyDescent="0.25">
      <c r="A131" t="s">
        <v>94</v>
      </c>
      <c r="B131" t="s">
        <v>467</v>
      </c>
      <c r="C131" t="s">
        <v>468</v>
      </c>
      <c r="D131" t="s">
        <v>573</v>
      </c>
      <c r="E131" t="s">
        <v>419</v>
      </c>
      <c r="F131">
        <v>2025</v>
      </c>
      <c r="G131">
        <v>1</v>
      </c>
      <c r="H131" t="s">
        <v>75</v>
      </c>
      <c r="I131" t="s">
        <v>76</v>
      </c>
      <c r="J131">
        <v>3</v>
      </c>
    </row>
    <row r="132" spans="1:10" x14ac:dyDescent="0.25">
      <c r="A132" t="s">
        <v>94</v>
      </c>
      <c r="B132" t="s">
        <v>467</v>
      </c>
      <c r="C132" t="s">
        <v>468</v>
      </c>
      <c r="D132" t="s">
        <v>573</v>
      </c>
      <c r="E132" t="s">
        <v>419</v>
      </c>
      <c r="F132">
        <v>2025</v>
      </c>
      <c r="G132">
        <v>1</v>
      </c>
      <c r="H132" t="s">
        <v>32</v>
      </c>
      <c r="I132" t="s">
        <v>33</v>
      </c>
      <c r="J132">
        <v>2</v>
      </c>
    </row>
    <row r="133" spans="1:10" x14ac:dyDescent="0.25">
      <c r="A133" t="s">
        <v>94</v>
      </c>
      <c r="B133" t="s">
        <v>467</v>
      </c>
      <c r="C133" t="s">
        <v>468</v>
      </c>
      <c r="D133" t="s">
        <v>573</v>
      </c>
      <c r="E133" t="s">
        <v>419</v>
      </c>
      <c r="F133">
        <v>2025</v>
      </c>
      <c r="G133">
        <v>1</v>
      </c>
      <c r="H133" t="s">
        <v>34</v>
      </c>
      <c r="I133" t="s">
        <v>35</v>
      </c>
      <c r="J133">
        <v>2</v>
      </c>
    </row>
    <row r="134" spans="1:10" x14ac:dyDescent="0.25">
      <c r="A134" t="s">
        <v>105</v>
      </c>
      <c r="B134" t="s">
        <v>469</v>
      </c>
      <c r="C134" t="s">
        <v>470</v>
      </c>
      <c r="D134" t="s">
        <v>573</v>
      </c>
      <c r="E134" t="s">
        <v>420</v>
      </c>
      <c r="F134">
        <v>2025</v>
      </c>
      <c r="G134">
        <v>1</v>
      </c>
      <c r="H134" t="s">
        <v>263</v>
      </c>
      <c r="I134" t="s">
        <v>264</v>
      </c>
      <c r="J134">
        <v>3</v>
      </c>
    </row>
    <row r="135" spans="1:10" x14ac:dyDescent="0.25">
      <c r="A135" t="s">
        <v>105</v>
      </c>
      <c r="B135" t="s">
        <v>469</v>
      </c>
      <c r="C135" t="s">
        <v>470</v>
      </c>
      <c r="D135" t="s">
        <v>573</v>
      </c>
      <c r="E135" t="s">
        <v>420</v>
      </c>
      <c r="F135">
        <v>2025</v>
      </c>
      <c r="G135">
        <v>1</v>
      </c>
      <c r="H135" t="s">
        <v>17</v>
      </c>
      <c r="I135" t="s">
        <v>18</v>
      </c>
      <c r="J135">
        <v>3</v>
      </c>
    </row>
    <row r="136" spans="1:10" x14ac:dyDescent="0.25">
      <c r="A136" t="s">
        <v>105</v>
      </c>
      <c r="B136" t="s">
        <v>469</v>
      </c>
      <c r="C136" t="s">
        <v>470</v>
      </c>
      <c r="D136" t="s">
        <v>573</v>
      </c>
      <c r="E136" t="s">
        <v>420</v>
      </c>
      <c r="F136">
        <v>2025</v>
      </c>
      <c r="G136">
        <v>1</v>
      </c>
      <c r="H136" t="s">
        <v>106</v>
      </c>
      <c r="I136" t="s">
        <v>107</v>
      </c>
      <c r="J136">
        <v>3</v>
      </c>
    </row>
    <row r="137" spans="1:10" x14ac:dyDescent="0.25">
      <c r="A137" t="s">
        <v>105</v>
      </c>
      <c r="B137" t="s">
        <v>469</v>
      </c>
      <c r="C137" t="s">
        <v>470</v>
      </c>
      <c r="D137" t="s">
        <v>573</v>
      </c>
      <c r="E137" t="s">
        <v>420</v>
      </c>
      <c r="F137">
        <v>2025</v>
      </c>
      <c r="G137">
        <v>1</v>
      </c>
      <c r="H137" t="s">
        <v>28</v>
      </c>
      <c r="I137" t="s">
        <v>29</v>
      </c>
      <c r="J137">
        <v>3</v>
      </c>
    </row>
    <row r="138" spans="1:10" x14ac:dyDescent="0.25">
      <c r="A138" t="s">
        <v>105</v>
      </c>
      <c r="B138" t="s">
        <v>469</v>
      </c>
      <c r="C138" t="s">
        <v>470</v>
      </c>
      <c r="D138" t="s">
        <v>573</v>
      </c>
      <c r="E138" t="s">
        <v>420</v>
      </c>
      <c r="F138">
        <v>2025</v>
      </c>
      <c r="G138">
        <v>1</v>
      </c>
      <c r="H138" t="s">
        <v>32</v>
      </c>
      <c r="I138" t="s">
        <v>33</v>
      </c>
      <c r="J138">
        <v>2</v>
      </c>
    </row>
    <row r="139" spans="1:10" x14ac:dyDescent="0.25">
      <c r="A139" t="s">
        <v>105</v>
      </c>
      <c r="B139" t="s">
        <v>469</v>
      </c>
      <c r="C139" t="s">
        <v>470</v>
      </c>
      <c r="D139" t="s">
        <v>573</v>
      </c>
      <c r="E139" t="s">
        <v>420</v>
      </c>
      <c r="F139">
        <v>2025</v>
      </c>
      <c r="G139">
        <v>1</v>
      </c>
      <c r="H139" t="s">
        <v>34</v>
      </c>
      <c r="I139" t="s">
        <v>35</v>
      </c>
      <c r="J139">
        <v>2</v>
      </c>
    </row>
    <row r="140" spans="1:10" x14ac:dyDescent="0.25">
      <c r="A140" t="s">
        <v>129</v>
      </c>
      <c r="B140" t="s">
        <v>268</v>
      </c>
      <c r="C140" t="s">
        <v>471</v>
      </c>
      <c r="D140" t="s">
        <v>573</v>
      </c>
      <c r="E140" t="s">
        <v>416</v>
      </c>
      <c r="F140">
        <v>2025</v>
      </c>
      <c r="G140">
        <v>1</v>
      </c>
      <c r="H140" t="s">
        <v>130</v>
      </c>
      <c r="I140" t="s">
        <v>131</v>
      </c>
      <c r="J140">
        <v>3</v>
      </c>
    </row>
    <row r="141" spans="1:10" x14ac:dyDescent="0.25">
      <c r="A141" t="s">
        <v>129</v>
      </c>
      <c r="B141" t="s">
        <v>268</v>
      </c>
      <c r="C141" t="s">
        <v>471</v>
      </c>
      <c r="D141" t="s">
        <v>573</v>
      </c>
      <c r="E141" t="s">
        <v>416</v>
      </c>
      <c r="F141">
        <v>2025</v>
      </c>
      <c r="G141">
        <v>1</v>
      </c>
      <c r="H141" t="s">
        <v>17</v>
      </c>
      <c r="I141" t="s">
        <v>18</v>
      </c>
      <c r="J141">
        <v>3</v>
      </c>
    </row>
    <row r="142" spans="1:10" x14ac:dyDescent="0.25">
      <c r="A142" t="s">
        <v>129</v>
      </c>
      <c r="B142" t="s">
        <v>268</v>
      </c>
      <c r="C142" t="s">
        <v>471</v>
      </c>
      <c r="D142" t="s">
        <v>573</v>
      </c>
      <c r="E142" t="s">
        <v>416</v>
      </c>
      <c r="F142">
        <v>2025</v>
      </c>
      <c r="G142">
        <v>1</v>
      </c>
      <c r="H142" t="s">
        <v>38</v>
      </c>
      <c r="I142" t="s">
        <v>39</v>
      </c>
      <c r="J142">
        <v>3</v>
      </c>
    </row>
    <row r="143" spans="1:10" x14ac:dyDescent="0.25">
      <c r="A143" t="s">
        <v>129</v>
      </c>
      <c r="B143" t="s">
        <v>268</v>
      </c>
      <c r="C143" t="s">
        <v>471</v>
      </c>
      <c r="D143" t="s">
        <v>573</v>
      </c>
      <c r="E143" t="s">
        <v>416</v>
      </c>
      <c r="F143">
        <v>2025</v>
      </c>
      <c r="G143">
        <v>1</v>
      </c>
      <c r="H143" t="s">
        <v>106</v>
      </c>
      <c r="I143" t="s">
        <v>107</v>
      </c>
      <c r="J143">
        <v>3</v>
      </c>
    </row>
    <row r="144" spans="1:10" x14ac:dyDescent="0.25">
      <c r="A144" t="s">
        <v>129</v>
      </c>
      <c r="B144" t="s">
        <v>268</v>
      </c>
      <c r="C144" t="s">
        <v>471</v>
      </c>
      <c r="D144" t="s">
        <v>573</v>
      </c>
      <c r="E144" t="s">
        <v>416</v>
      </c>
      <c r="F144">
        <v>2025</v>
      </c>
      <c r="G144">
        <v>1</v>
      </c>
      <c r="H144" t="s">
        <v>28</v>
      </c>
      <c r="I144" t="s">
        <v>29</v>
      </c>
      <c r="J144">
        <v>3</v>
      </c>
    </row>
    <row r="145" spans="1:10" x14ac:dyDescent="0.25">
      <c r="A145" t="s">
        <v>129</v>
      </c>
      <c r="B145" t="s">
        <v>268</v>
      </c>
      <c r="C145" t="s">
        <v>471</v>
      </c>
      <c r="D145" t="s">
        <v>573</v>
      </c>
      <c r="E145" t="s">
        <v>416</v>
      </c>
      <c r="F145">
        <v>2025</v>
      </c>
      <c r="G145">
        <v>1</v>
      </c>
      <c r="H145" t="s">
        <v>32</v>
      </c>
      <c r="I145" t="s">
        <v>33</v>
      </c>
      <c r="J145">
        <v>2</v>
      </c>
    </row>
    <row r="146" spans="1:10" x14ac:dyDescent="0.25">
      <c r="A146" t="s">
        <v>129</v>
      </c>
      <c r="B146" t="s">
        <v>268</v>
      </c>
      <c r="C146" t="s">
        <v>471</v>
      </c>
      <c r="D146" t="s">
        <v>573</v>
      </c>
      <c r="E146" t="s">
        <v>416</v>
      </c>
      <c r="F146">
        <v>2025</v>
      </c>
      <c r="G146">
        <v>1</v>
      </c>
      <c r="H146" t="s">
        <v>34</v>
      </c>
      <c r="I146" t="s">
        <v>35</v>
      </c>
      <c r="J146">
        <v>2</v>
      </c>
    </row>
    <row r="147" spans="1:10" x14ac:dyDescent="0.25">
      <c r="A147" t="s">
        <v>267</v>
      </c>
      <c r="B147" t="s">
        <v>269</v>
      </c>
      <c r="C147" t="s">
        <v>472</v>
      </c>
      <c r="D147" t="s">
        <v>573</v>
      </c>
      <c r="E147" t="s">
        <v>574</v>
      </c>
      <c r="F147">
        <v>2025</v>
      </c>
      <c r="G147">
        <v>1</v>
      </c>
      <c r="H147" t="s">
        <v>34</v>
      </c>
      <c r="I147" t="s">
        <v>35</v>
      </c>
      <c r="J147">
        <v>2</v>
      </c>
    </row>
    <row r="148" spans="1:10" x14ac:dyDescent="0.25">
      <c r="A148" t="s">
        <v>267</v>
      </c>
      <c r="B148" t="s">
        <v>269</v>
      </c>
      <c r="C148" t="s">
        <v>472</v>
      </c>
      <c r="D148" t="s">
        <v>573</v>
      </c>
      <c r="E148" t="s">
        <v>574</v>
      </c>
      <c r="F148">
        <v>2025</v>
      </c>
      <c r="G148">
        <v>1</v>
      </c>
      <c r="H148" t="s">
        <v>130</v>
      </c>
      <c r="I148" t="s">
        <v>131</v>
      </c>
      <c r="J148">
        <v>3</v>
      </c>
    </row>
    <row r="149" spans="1:10" x14ac:dyDescent="0.25">
      <c r="A149" t="s">
        <v>267</v>
      </c>
      <c r="B149" t="s">
        <v>269</v>
      </c>
      <c r="C149" t="s">
        <v>472</v>
      </c>
      <c r="D149" t="s">
        <v>573</v>
      </c>
      <c r="E149" t="s">
        <v>574</v>
      </c>
      <c r="F149">
        <v>2025</v>
      </c>
      <c r="G149">
        <v>1</v>
      </c>
      <c r="H149" t="s">
        <v>17</v>
      </c>
      <c r="I149" t="s">
        <v>18</v>
      </c>
      <c r="J149">
        <v>3</v>
      </c>
    </row>
    <row r="150" spans="1:10" x14ac:dyDescent="0.25">
      <c r="A150" t="s">
        <v>267</v>
      </c>
      <c r="B150" t="s">
        <v>269</v>
      </c>
      <c r="C150" t="s">
        <v>472</v>
      </c>
      <c r="D150" t="s">
        <v>573</v>
      </c>
      <c r="E150" t="s">
        <v>574</v>
      </c>
      <c r="F150">
        <v>2025</v>
      </c>
      <c r="G150">
        <v>1</v>
      </c>
      <c r="H150" t="s">
        <v>38</v>
      </c>
      <c r="I150" t="s">
        <v>39</v>
      </c>
      <c r="J150">
        <v>3</v>
      </c>
    </row>
    <row r="151" spans="1:10" x14ac:dyDescent="0.25">
      <c r="A151" t="s">
        <v>267</v>
      </c>
      <c r="B151" t="s">
        <v>269</v>
      </c>
      <c r="C151" t="s">
        <v>472</v>
      </c>
      <c r="D151" t="s">
        <v>573</v>
      </c>
      <c r="E151" t="s">
        <v>574</v>
      </c>
      <c r="F151">
        <v>2025</v>
      </c>
      <c r="G151">
        <v>1</v>
      </c>
      <c r="H151" t="s">
        <v>106</v>
      </c>
      <c r="I151" t="s">
        <v>107</v>
      </c>
      <c r="J151">
        <v>3</v>
      </c>
    </row>
    <row r="152" spans="1:10" x14ac:dyDescent="0.25">
      <c r="A152" t="s">
        <v>267</v>
      </c>
      <c r="B152" t="s">
        <v>269</v>
      </c>
      <c r="C152" t="s">
        <v>472</v>
      </c>
      <c r="D152" t="s">
        <v>573</v>
      </c>
      <c r="E152" t="s">
        <v>574</v>
      </c>
      <c r="F152">
        <v>2025</v>
      </c>
      <c r="G152">
        <v>1</v>
      </c>
      <c r="H152" t="s">
        <v>28</v>
      </c>
      <c r="I152" t="s">
        <v>29</v>
      </c>
      <c r="J152">
        <v>3</v>
      </c>
    </row>
    <row r="153" spans="1:10" x14ac:dyDescent="0.25">
      <c r="A153" t="s">
        <v>267</v>
      </c>
      <c r="B153" t="s">
        <v>269</v>
      </c>
      <c r="C153" t="s">
        <v>472</v>
      </c>
      <c r="D153" t="s">
        <v>573</v>
      </c>
      <c r="E153" t="s">
        <v>574</v>
      </c>
      <c r="F153">
        <v>2025</v>
      </c>
      <c r="G153">
        <v>1</v>
      </c>
      <c r="H153" t="s">
        <v>32</v>
      </c>
      <c r="I153" t="s">
        <v>33</v>
      </c>
      <c r="J153">
        <v>2</v>
      </c>
    </row>
    <row r="154" spans="1:10" x14ac:dyDescent="0.25">
      <c r="A154" t="s">
        <v>146</v>
      </c>
      <c r="B154" t="s">
        <v>473</v>
      </c>
      <c r="C154" t="s">
        <v>474</v>
      </c>
      <c r="D154" t="s">
        <v>573</v>
      </c>
      <c r="E154" t="s">
        <v>415</v>
      </c>
      <c r="F154">
        <v>2025</v>
      </c>
      <c r="G154">
        <v>1</v>
      </c>
      <c r="H154" t="s">
        <v>17</v>
      </c>
      <c r="I154" t="s">
        <v>18</v>
      </c>
      <c r="J154">
        <v>3</v>
      </c>
    </row>
    <row r="155" spans="1:10" x14ac:dyDescent="0.25">
      <c r="A155" t="s">
        <v>146</v>
      </c>
      <c r="B155" t="s">
        <v>473</v>
      </c>
      <c r="C155" t="s">
        <v>474</v>
      </c>
      <c r="D155" t="s">
        <v>573</v>
      </c>
      <c r="E155" t="s">
        <v>415</v>
      </c>
      <c r="F155">
        <v>2025</v>
      </c>
      <c r="G155">
        <v>1</v>
      </c>
      <c r="H155" t="s">
        <v>106</v>
      </c>
      <c r="I155" t="s">
        <v>107</v>
      </c>
      <c r="J155">
        <v>3</v>
      </c>
    </row>
    <row r="156" spans="1:10" x14ac:dyDescent="0.25">
      <c r="A156" t="s">
        <v>146</v>
      </c>
      <c r="B156" t="s">
        <v>473</v>
      </c>
      <c r="C156" t="s">
        <v>474</v>
      </c>
      <c r="D156" t="s">
        <v>573</v>
      </c>
      <c r="E156" t="s">
        <v>415</v>
      </c>
      <c r="F156">
        <v>2025</v>
      </c>
      <c r="G156">
        <v>1</v>
      </c>
      <c r="H156" t="s">
        <v>32</v>
      </c>
      <c r="I156" t="s">
        <v>33</v>
      </c>
      <c r="J156">
        <v>2</v>
      </c>
    </row>
    <row r="157" spans="1:10" x14ac:dyDescent="0.25">
      <c r="A157" t="s">
        <v>146</v>
      </c>
      <c r="B157" t="s">
        <v>473</v>
      </c>
      <c r="C157" t="s">
        <v>474</v>
      </c>
      <c r="D157" t="s">
        <v>573</v>
      </c>
      <c r="E157" t="s">
        <v>415</v>
      </c>
      <c r="F157">
        <v>2025</v>
      </c>
      <c r="G157">
        <v>1</v>
      </c>
      <c r="H157" t="s">
        <v>34</v>
      </c>
      <c r="I157" t="s">
        <v>35</v>
      </c>
      <c r="J157">
        <v>2</v>
      </c>
    </row>
    <row r="158" spans="1:10" x14ac:dyDescent="0.25">
      <c r="A158" t="s">
        <v>146</v>
      </c>
      <c r="B158" t="s">
        <v>473</v>
      </c>
      <c r="C158" t="s">
        <v>474</v>
      </c>
      <c r="D158" t="s">
        <v>573</v>
      </c>
      <c r="E158" t="s">
        <v>415</v>
      </c>
      <c r="F158">
        <v>2025</v>
      </c>
      <c r="G158">
        <v>1</v>
      </c>
      <c r="H158" t="s">
        <v>24</v>
      </c>
      <c r="I158" t="s">
        <v>25</v>
      </c>
      <c r="J158">
        <v>3</v>
      </c>
    </row>
    <row r="159" spans="1:10" x14ac:dyDescent="0.25">
      <c r="A159" t="s">
        <v>146</v>
      </c>
      <c r="B159" t="s">
        <v>473</v>
      </c>
      <c r="C159" t="s">
        <v>474</v>
      </c>
      <c r="D159" t="s">
        <v>573</v>
      </c>
      <c r="E159" t="s">
        <v>415</v>
      </c>
      <c r="F159">
        <v>2025</v>
      </c>
      <c r="G159">
        <v>1</v>
      </c>
      <c r="H159" t="s">
        <v>147</v>
      </c>
      <c r="I159" t="s">
        <v>148</v>
      </c>
      <c r="J159">
        <v>3</v>
      </c>
    </row>
    <row r="160" spans="1:10" x14ac:dyDescent="0.25">
      <c r="A160" t="s">
        <v>159</v>
      </c>
      <c r="B160" t="s">
        <v>475</v>
      </c>
      <c r="C160" t="s">
        <v>476</v>
      </c>
      <c r="D160" t="s">
        <v>573</v>
      </c>
      <c r="E160" t="s">
        <v>421</v>
      </c>
      <c r="F160">
        <v>2025</v>
      </c>
      <c r="G160">
        <v>1</v>
      </c>
      <c r="H160" t="s">
        <v>36</v>
      </c>
      <c r="I160" t="s">
        <v>37</v>
      </c>
      <c r="J160">
        <v>3</v>
      </c>
    </row>
    <row r="161" spans="1:10" x14ac:dyDescent="0.25">
      <c r="A161" t="s">
        <v>159</v>
      </c>
      <c r="B161" t="s">
        <v>475</v>
      </c>
      <c r="C161" t="s">
        <v>476</v>
      </c>
      <c r="D161" t="s">
        <v>573</v>
      </c>
      <c r="E161" t="s">
        <v>421</v>
      </c>
      <c r="F161">
        <v>2025</v>
      </c>
      <c r="G161">
        <v>1</v>
      </c>
      <c r="H161" t="s">
        <v>164</v>
      </c>
      <c r="I161" t="s">
        <v>165</v>
      </c>
      <c r="J161">
        <v>3</v>
      </c>
    </row>
    <row r="162" spans="1:10" x14ac:dyDescent="0.25">
      <c r="A162" t="s">
        <v>159</v>
      </c>
      <c r="B162" t="s">
        <v>475</v>
      </c>
      <c r="C162" t="s">
        <v>476</v>
      </c>
      <c r="D162" t="s">
        <v>573</v>
      </c>
      <c r="E162" t="s">
        <v>421</v>
      </c>
      <c r="F162">
        <v>2025</v>
      </c>
      <c r="G162">
        <v>1</v>
      </c>
      <c r="H162" t="s">
        <v>166</v>
      </c>
      <c r="I162" t="s">
        <v>167</v>
      </c>
      <c r="J162">
        <v>3</v>
      </c>
    </row>
    <row r="163" spans="1:10" x14ac:dyDescent="0.25">
      <c r="A163" t="s">
        <v>159</v>
      </c>
      <c r="B163" t="s">
        <v>475</v>
      </c>
      <c r="C163" t="s">
        <v>476</v>
      </c>
      <c r="D163" t="s">
        <v>573</v>
      </c>
      <c r="E163" t="s">
        <v>421</v>
      </c>
      <c r="F163">
        <v>2025</v>
      </c>
      <c r="G163">
        <v>1</v>
      </c>
      <c r="H163" t="s">
        <v>168</v>
      </c>
      <c r="I163" t="s">
        <v>169</v>
      </c>
      <c r="J163">
        <v>3</v>
      </c>
    </row>
    <row r="164" spans="1:10" x14ac:dyDescent="0.25">
      <c r="A164" t="s">
        <v>159</v>
      </c>
      <c r="B164" t="s">
        <v>475</v>
      </c>
      <c r="C164" t="s">
        <v>476</v>
      </c>
      <c r="D164" t="s">
        <v>573</v>
      </c>
      <c r="E164" t="s">
        <v>421</v>
      </c>
      <c r="F164">
        <v>2025</v>
      </c>
      <c r="G164">
        <v>1</v>
      </c>
      <c r="H164" t="s">
        <v>50</v>
      </c>
      <c r="I164" t="s">
        <v>51</v>
      </c>
      <c r="J164">
        <v>3</v>
      </c>
    </row>
    <row r="165" spans="1:10" x14ac:dyDescent="0.25">
      <c r="A165" t="s">
        <v>159</v>
      </c>
      <c r="B165" t="s">
        <v>475</v>
      </c>
      <c r="C165" t="s">
        <v>476</v>
      </c>
      <c r="D165" t="s">
        <v>573</v>
      </c>
      <c r="E165" t="s">
        <v>421</v>
      </c>
      <c r="F165">
        <v>2025</v>
      </c>
      <c r="G165">
        <v>1</v>
      </c>
      <c r="H165" t="s">
        <v>34</v>
      </c>
      <c r="I165" t="s">
        <v>35</v>
      </c>
      <c r="J165">
        <v>2</v>
      </c>
    </row>
    <row r="166" spans="1:10" x14ac:dyDescent="0.25">
      <c r="A166" t="s">
        <v>185</v>
      </c>
      <c r="B166" t="s">
        <v>477</v>
      </c>
      <c r="C166" t="s">
        <v>478</v>
      </c>
      <c r="D166" t="s">
        <v>573</v>
      </c>
      <c r="E166" t="s">
        <v>422</v>
      </c>
      <c r="F166">
        <v>2025</v>
      </c>
      <c r="G166">
        <v>1</v>
      </c>
      <c r="H166" t="s">
        <v>24</v>
      </c>
      <c r="I166" t="s">
        <v>25</v>
      </c>
      <c r="J166">
        <v>3</v>
      </c>
    </row>
    <row r="167" spans="1:10" x14ac:dyDescent="0.25">
      <c r="A167" t="s">
        <v>185</v>
      </c>
      <c r="B167" t="s">
        <v>477</v>
      </c>
      <c r="C167" t="s">
        <v>478</v>
      </c>
      <c r="D167" t="s">
        <v>573</v>
      </c>
      <c r="E167" t="s">
        <v>422</v>
      </c>
      <c r="F167">
        <v>2025</v>
      </c>
      <c r="G167">
        <v>1</v>
      </c>
      <c r="H167" t="s">
        <v>17</v>
      </c>
      <c r="I167" t="s">
        <v>18</v>
      </c>
      <c r="J167">
        <v>3</v>
      </c>
    </row>
    <row r="168" spans="1:10" x14ac:dyDescent="0.25">
      <c r="A168" t="s">
        <v>185</v>
      </c>
      <c r="B168" t="s">
        <v>477</v>
      </c>
      <c r="C168" t="s">
        <v>478</v>
      </c>
      <c r="D168" t="s">
        <v>573</v>
      </c>
      <c r="E168" t="s">
        <v>422</v>
      </c>
      <c r="F168">
        <v>2025</v>
      </c>
      <c r="G168">
        <v>1</v>
      </c>
      <c r="H168" t="s">
        <v>106</v>
      </c>
      <c r="I168" t="s">
        <v>107</v>
      </c>
      <c r="J168">
        <v>3</v>
      </c>
    </row>
    <row r="169" spans="1:10" x14ac:dyDescent="0.25">
      <c r="A169" t="s">
        <v>185</v>
      </c>
      <c r="B169" t="s">
        <v>477</v>
      </c>
      <c r="C169" t="s">
        <v>478</v>
      </c>
      <c r="D169" t="s">
        <v>573</v>
      </c>
      <c r="E169" t="s">
        <v>422</v>
      </c>
      <c r="F169">
        <v>2025</v>
      </c>
      <c r="G169">
        <v>1</v>
      </c>
      <c r="H169" t="s">
        <v>28</v>
      </c>
      <c r="I169" t="s">
        <v>29</v>
      </c>
      <c r="J169">
        <v>3</v>
      </c>
    </row>
    <row r="170" spans="1:10" x14ac:dyDescent="0.25">
      <c r="A170" t="s">
        <v>185</v>
      </c>
      <c r="B170" t="s">
        <v>477</v>
      </c>
      <c r="C170" t="s">
        <v>478</v>
      </c>
      <c r="D170" t="s">
        <v>573</v>
      </c>
      <c r="E170" t="s">
        <v>422</v>
      </c>
      <c r="F170">
        <v>2025</v>
      </c>
      <c r="G170">
        <v>1</v>
      </c>
      <c r="H170" t="s">
        <v>32</v>
      </c>
      <c r="I170" t="s">
        <v>33</v>
      </c>
      <c r="J170">
        <v>2</v>
      </c>
    </row>
    <row r="171" spans="1:10" x14ac:dyDescent="0.25">
      <c r="A171" t="s">
        <v>185</v>
      </c>
      <c r="B171" t="s">
        <v>477</v>
      </c>
      <c r="C171" t="s">
        <v>478</v>
      </c>
      <c r="D171" t="s">
        <v>573</v>
      </c>
      <c r="E171" t="s">
        <v>422</v>
      </c>
      <c r="F171">
        <v>2025</v>
      </c>
      <c r="G171">
        <v>1</v>
      </c>
      <c r="H171" t="s">
        <v>34</v>
      </c>
      <c r="I171" t="s">
        <v>35</v>
      </c>
      <c r="J171">
        <v>2</v>
      </c>
    </row>
    <row r="172" spans="1:10" x14ac:dyDescent="0.25">
      <c r="A172" t="s">
        <v>186</v>
      </c>
      <c r="B172" t="s">
        <v>479</v>
      </c>
      <c r="C172" t="s">
        <v>480</v>
      </c>
      <c r="D172" t="s">
        <v>573</v>
      </c>
      <c r="E172" t="s">
        <v>423</v>
      </c>
      <c r="F172">
        <v>2025</v>
      </c>
      <c r="G172">
        <v>1</v>
      </c>
      <c r="H172" t="s">
        <v>265</v>
      </c>
      <c r="I172" t="s">
        <v>266</v>
      </c>
      <c r="J172">
        <v>3</v>
      </c>
    </row>
    <row r="173" spans="1:10" x14ac:dyDescent="0.25">
      <c r="A173" t="s">
        <v>186</v>
      </c>
      <c r="B173" t="s">
        <v>479</v>
      </c>
      <c r="C173" t="s">
        <v>480</v>
      </c>
      <c r="D173" t="s">
        <v>573</v>
      </c>
      <c r="E173" t="s">
        <v>423</v>
      </c>
      <c r="F173">
        <v>2025</v>
      </c>
      <c r="G173">
        <v>1</v>
      </c>
      <c r="H173" t="s">
        <v>24</v>
      </c>
      <c r="I173" t="s">
        <v>25</v>
      </c>
      <c r="J173">
        <v>3</v>
      </c>
    </row>
    <row r="174" spans="1:10" x14ac:dyDescent="0.25">
      <c r="A174" t="s">
        <v>186</v>
      </c>
      <c r="B174" t="s">
        <v>479</v>
      </c>
      <c r="C174" t="s">
        <v>480</v>
      </c>
      <c r="D174" t="s">
        <v>573</v>
      </c>
      <c r="E174" t="s">
        <v>423</v>
      </c>
      <c r="F174">
        <v>2025</v>
      </c>
      <c r="G174">
        <v>1</v>
      </c>
      <c r="H174" t="s">
        <v>17</v>
      </c>
      <c r="I174" t="s">
        <v>18</v>
      </c>
      <c r="J174">
        <v>3</v>
      </c>
    </row>
    <row r="175" spans="1:10" x14ac:dyDescent="0.25">
      <c r="A175" t="s">
        <v>186</v>
      </c>
      <c r="B175" t="s">
        <v>479</v>
      </c>
      <c r="C175" t="s">
        <v>480</v>
      </c>
      <c r="D175" t="s">
        <v>573</v>
      </c>
      <c r="E175" t="s">
        <v>423</v>
      </c>
      <c r="F175">
        <v>2025</v>
      </c>
      <c r="G175">
        <v>1</v>
      </c>
      <c r="H175" t="s">
        <v>106</v>
      </c>
      <c r="I175" t="s">
        <v>107</v>
      </c>
      <c r="J175">
        <v>3</v>
      </c>
    </row>
    <row r="176" spans="1:10" x14ac:dyDescent="0.25">
      <c r="A176" t="s">
        <v>186</v>
      </c>
      <c r="B176" t="s">
        <v>479</v>
      </c>
      <c r="C176" t="s">
        <v>480</v>
      </c>
      <c r="D176" t="s">
        <v>573</v>
      </c>
      <c r="E176" t="s">
        <v>423</v>
      </c>
      <c r="F176">
        <v>2025</v>
      </c>
      <c r="G176">
        <v>1</v>
      </c>
      <c r="H176" t="s">
        <v>28</v>
      </c>
      <c r="I176" t="s">
        <v>29</v>
      </c>
      <c r="J176">
        <v>3</v>
      </c>
    </row>
    <row r="177" spans="1:10" x14ac:dyDescent="0.25">
      <c r="A177" t="s">
        <v>186</v>
      </c>
      <c r="B177" t="s">
        <v>479</v>
      </c>
      <c r="C177" t="s">
        <v>480</v>
      </c>
      <c r="D177" t="s">
        <v>573</v>
      </c>
      <c r="E177" t="s">
        <v>423</v>
      </c>
      <c r="F177">
        <v>2025</v>
      </c>
      <c r="G177">
        <v>1</v>
      </c>
      <c r="H177" t="s">
        <v>34</v>
      </c>
      <c r="I177" t="s">
        <v>35</v>
      </c>
      <c r="J177">
        <v>2</v>
      </c>
    </row>
    <row r="178" spans="1:10" x14ac:dyDescent="0.25">
      <c r="A178" t="s">
        <v>198</v>
      </c>
      <c r="B178" t="s">
        <v>481</v>
      </c>
      <c r="C178" t="s">
        <v>482</v>
      </c>
      <c r="D178" t="s">
        <v>573</v>
      </c>
      <c r="E178" t="s">
        <v>424</v>
      </c>
      <c r="F178">
        <v>2025</v>
      </c>
      <c r="G178">
        <v>1</v>
      </c>
      <c r="H178" t="s">
        <v>24</v>
      </c>
      <c r="I178" t="s">
        <v>25</v>
      </c>
      <c r="J178">
        <v>3</v>
      </c>
    </row>
    <row r="179" spans="1:10" x14ac:dyDescent="0.25">
      <c r="A179" t="s">
        <v>198</v>
      </c>
      <c r="B179" t="s">
        <v>481</v>
      </c>
      <c r="C179" t="s">
        <v>482</v>
      </c>
      <c r="D179" t="s">
        <v>573</v>
      </c>
      <c r="E179" t="s">
        <v>424</v>
      </c>
      <c r="F179">
        <v>2025</v>
      </c>
      <c r="G179">
        <v>1</v>
      </c>
      <c r="H179" t="s">
        <v>17</v>
      </c>
      <c r="I179" t="s">
        <v>18</v>
      </c>
      <c r="J179">
        <v>3</v>
      </c>
    </row>
    <row r="180" spans="1:10" x14ac:dyDescent="0.25">
      <c r="A180" t="s">
        <v>198</v>
      </c>
      <c r="B180" t="s">
        <v>481</v>
      </c>
      <c r="C180" t="s">
        <v>482</v>
      </c>
      <c r="D180" t="s">
        <v>573</v>
      </c>
      <c r="E180" t="s">
        <v>424</v>
      </c>
      <c r="F180">
        <v>2025</v>
      </c>
      <c r="G180">
        <v>1</v>
      </c>
      <c r="H180" t="s">
        <v>106</v>
      </c>
      <c r="I180" t="s">
        <v>107</v>
      </c>
      <c r="J180">
        <v>3</v>
      </c>
    </row>
    <row r="181" spans="1:10" x14ac:dyDescent="0.25">
      <c r="A181" t="s">
        <v>198</v>
      </c>
      <c r="B181" t="s">
        <v>481</v>
      </c>
      <c r="C181" t="s">
        <v>482</v>
      </c>
      <c r="D181" t="s">
        <v>573</v>
      </c>
      <c r="E181" t="s">
        <v>424</v>
      </c>
      <c r="F181">
        <v>2025</v>
      </c>
      <c r="G181">
        <v>1</v>
      </c>
      <c r="H181" t="s">
        <v>26</v>
      </c>
      <c r="I181" t="s">
        <v>27</v>
      </c>
      <c r="J181">
        <v>3</v>
      </c>
    </row>
    <row r="182" spans="1:10" x14ac:dyDescent="0.25">
      <c r="A182" t="s">
        <v>198</v>
      </c>
      <c r="B182" t="s">
        <v>481</v>
      </c>
      <c r="C182" t="s">
        <v>482</v>
      </c>
      <c r="D182" t="s">
        <v>573</v>
      </c>
      <c r="E182" t="s">
        <v>424</v>
      </c>
      <c r="F182">
        <v>2025</v>
      </c>
      <c r="G182">
        <v>1</v>
      </c>
      <c r="H182" t="s">
        <v>32</v>
      </c>
      <c r="I182" t="s">
        <v>33</v>
      </c>
      <c r="J182">
        <v>2</v>
      </c>
    </row>
    <row r="183" spans="1:10" x14ac:dyDescent="0.25">
      <c r="A183" t="s">
        <v>198</v>
      </c>
      <c r="B183" t="s">
        <v>481</v>
      </c>
      <c r="C183" t="s">
        <v>482</v>
      </c>
      <c r="D183" t="s">
        <v>573</v>
      </c>
      <c r="E183" t="s">
        <v>424</v>
      </c>
      <c r="F183">
        <v>2025</v>
      </c>
      <c r="G183">
        <v>1</v>
      </c>
      <c r="H183" t="s">
        <v>34</v>
      </c>
      <c r="I183" t="s">
        <v>35</v>
      </c>
      <c r="J183">
        <v>2</v>
      </c>
    </row>
    <row r="184" spans="1:10" x14ac:dyDescent="0.25">
      <c r="A184" t="s">
        <v>202</v>
      </c>
      <c r="B184" t="s">
        <v>483</v>
      </c>
      <c r="C184" t="s">
        <v>484</v>
      </c>
      <c r="D184" t="s">
        <v>573</v>
      </c>
      <c r="E184" t="s">
        <v>425</v>
      </c>
      <c r="F184">
        <v>2025</v>
      </c>
      <c r="G184">
        <v>1</v>
      </c>
      <c r="H184" t="s">
        <v>207</v>
      </c>
      <c r="I184" t="s">
        <v>25</v>
      </c>
      <c r="J184">
        <v>3</v>
      </c>
    </row>
    <row r="185" spans="1:10" x14ac:dyDescent="0.25">
      <c r="A185" t="s">
        <v>202</v>
      </c>
      <c r="B185" t="s">
        <v>483</v>
      </c>
      <c r="C185" t="s">
        <v>484</v>
      </c>
      <c r="D185" t="s">
        <v>573</v>
      </c>
      <c r="E185" t="s">
        <v>425</v>
      </c>
      <c r="F185">
        <v>2025</v>
      </c>
      <c r="G185">
        <v>1</v>
      </c>
      <c r="H185" t="s">
        <v>208</v>
      </c>
      <c r="I185" t="s">
        <v>209</v>
      </c>
      <c r="J185">
        <v>3</v>
      </c>
    </row>
    <row r="186" spans="1:10" x14ac:dyDescent="0.25">
      <c r="A186" t="s">
        <v>202</v>
      </c>
      <c r="B186" t="s">
        <v>483</v>
      </c>
      <c r="C186" t="s">
        <v>484</v>
      </c>
      <c r="D186" t="s">
        <v>573</v>
      </c>
      <c r="E186" t="s">
        <v>425</v>
      </c>
      <c r="F186">
        <v>2025</v>
      </c>
      <c r="G186">
        <v>1</v>
      </c>
      <c r="H186" t="s">
        <v>210</v>
      </c>
      <c r="I186" t="s">
        <v>211</v>
      </c>
      <c r="J186">
        <v>3</v>
      </c>
    </row>
    <row r="187" spans="1:10" x14ac:dyDescent="0.25">
      <c r="A187" t="s">
        <v>202</v>
      </c>
      <c r="B187" t="s">
        <v>483</v>
      </c>
      <c r="C187" t="s">
        <v>484</v>
      </c>
      <c r="D187" t="s">
        <v>573</v>
      </c>
      <c r="E187" t="s">
        <v>425</v>
      </c>
      <c r="F187">
        <v>2025</v>
      </c>
      <c r="G187">
        <v>1</v>
      </c>
      <c r="H187" t="s">
        <v>212</v>
      </c>
      <c r="I187" t="s">
        <v>213</v>
      </c>
      <c r="J187">
        <v>3</v>
      </c>
    </row>
    <row r="188" spans="1:10" x14ac:dyDescent="0.25">
      <c r="A188" t="s">
        <v>202</v>
      </c>
      <c r="B188" t="s">
        <v>483</v>
      </c>
      <c r="C188" t="s">
        <v>484</v>
      </c>
      <c r="D188" t="s">
        <v>573</v>
      </c>
      <c r="E188" t="s">
        <v>425</v>
      </c>
      <c r="F188">
        <v>2025</v>
      </c>
      <c r="G188">
        <v>1</v>
      </c>
      <c r="H188" t="s">
        <v>32</v>
      </c>
      <c r="I188" t="s">
        <v>33</v>
      </c>
      <c r="J188">
        <v>2</v>
      </c>
    </row>
    <row r="189" spans="1:10" x14ac:dyDescent="0.25">
      <c r="A189" t="s">
        <v>202</v>
      </c>
      <c r="B189" t="s">
        <v>483</v>
      </c>
      <c r="C189" t="s">
        <v>484</v>
      </c>
      <c r="D189" t="s">
        <v>573</v>
      </c>
      <c r="E189" t="s">
        <v>425</v>
      </c>
      <c r="F189">
        <v>2025</v>
      </c>
      <c r="G189">
        <v>1</v>
      </c>
      <c r="H189" t="s">
        <v>42</v>
      </c>
      <c r="I189" t="s">
        <v>43</v>
      </c>
      <c r="J189">
        <v>2</v>
      </c>
    </row>
    <row r="190" spans="1:10" x14ac:dyDescent="0.25">
      <c r="A190" t="s">
        <v>202</v>
      </c>
      <c r="B190" t="s">
        <v>483</v>
      </c>
      <c r="C190" t="s">
        <v>484</v>
      </c>
      <c r="D190" t="s">
        <v>573</v>
      </c>
      <c r="E190" t="s">
        <v>425</v>
      </c>
      <c r="F190">
        <v>2025</v>
      </c>
      <c r="G190">
        <v>1</v>
      </c>
      <c r="H190" t="s">
        <v>34</v>
      </c>
      <c r="I190" t="s">
        <v>35</v>
      </c>
      <c r="J190">
        <v>2</v>
      </c>
    </row>
    <row r="191" spans="1:10" x14ac:dyDescent="0.25">
      <c r="A191" t="s">
        <v>228</v>
      </c>
      <c r="B191" t="s">
        <v>485</v>
      </c>
      <c r="C191" t="s">
        <v>486</v>
      </c>
      <c r="D191" t="s">
        <v>573</v>
      </c>
      <c r="E191" t="s">
        <v>426</v>
      </c>
      <c r="F191">
        <v>2025</v>
      </c>
      <c r="G191">
        <v>1</v>
      </c>
      <c r="H191" t="s">
        <v>24</v>
      </c>
      <c r="I191" t="s">
        <v>25</v>
      </c>
      <c r="J191">
        <v>3</v>
      </c>
    </row>
    <row r="192" spans="1:10" x14ac:dyDescent="0.25">
      <c r="A192" t="s">
        <v>228</v>
      </c>
      <c r="B192" t="s">
        <v>485</v>
      </c>
      <c r="C192" t="s">
        <v>486</v>
      </c>
      <c r="D192" t="s">
        <v>573</v>
      </c>
      <c r="E192" t="s">
        <v>426</v>
      </c>
      <c r="F192">
        <v>2025</v>
      </c>
      <c r="G192">
        <v>1</v>
      </c>
      <c r="H192" t="s">
        <v>17</v>
      </c>
      <c r="I192" t="s">
        <v>18</v>
      </c>
      <c r="J192">
        <v>3</v>
      </c>
    </row>
    <row r="193" spans="1:10" x14ac:dyDescent="0.25">
      <c r="A193" t="s">
        <v>228</v>
      </c>
      <c r="B193" t="s">
        <v>485</v>
      </c>
      <c r="C193" t="s">
        <v>486</v>
      </c>
      <c r="D193" t="s">
        <v>573</v>
      </c>
      <c r="E193" t="s">
        <v>426</v>
      </c>
      <c r="F193">
        <v>2025</v>
      </c>
      <c r="G193">
        <v>1</v>
      </c>
      <c r="H193" t="s">
        <v>28</v>
      </c>
      <c r="I193" t="s">
        <v>29</v>
      </c>
      <c r="J193">
        <v>3</v>
      </c>
    </row>
    <row r="194" spans="1:10" x14ac:dyDescent="0.25">
      <c r="A194" t="s">
        <v>228</v>
      </c>
      <c r="B194" t="s">
        <v>485</v>
      </c>
      <c r="C194" t="s">
        <v>486</v>
      </c>
      <c r="D194" t="s">
        <v>573</v>
      </c>
      <c r="E194" t="s">
        <v>426</v>
      </c>
      <c r="F194">
        <v>2025</v>
      </c>
      <c r="G194">
        <v>1</v>
      </c>
      <c r="H194" t="s">
        <v>50</v>
      </c>
      <c r="I194" t="s">
        <v>51</v>
      </c>
      <c r="J194">
        <v>3</v>
      </c>
    </row>
    <row r="195" spans="1:10" x14ac:dyDescent="0.25">
      <c r="A195" t="s">
        <v>228</v>
      </c>
      <c r="B195" t="s">
        <v>485</v>
      </c>
      <c r="C195" t="s">
        <v>486</v>
      </c>
      <c r="D195" t="s">
        <v>573</v>
      </c>
      <c r="E195" t="s">
        <v>426</v>
      </c>
      <c r="F195">
        <v>2025</v>
      </c>
      <c r="G195">
        <v>1</v>
      </c>
      <c r="H195" t="s">
        <v>32</v>
      </c>
      <c r="I195" t="s">
        <v>33</v>
      </c>
      <c r="J195">
        <v>2</v>
      </c>
    </row>
    <row r="196" spans="1:10" x14ac:dyDescent="0.25">
      <c r="A196" t="s">
        <v>228</v>
      </c>
      <c r="B196" t="s">
        <v>485</v>
      </c>
      <c r="C196" t="s">
        <v>486</v>
      </c>
      <c r="D196" t="s">
        <v>573</v>
      </c>
      <c r="E196" t="s">
        <v>426</v>
      </c>
      <c r="F196">
        <v>2025</v>
      </c>
      <c r="G196">
        <v>1</v>
      </c>
      <c r="H196" t="s">
        <v>34</v>
      </c>
      <c r="I196" t="s">
        <v>35</v>
      </c>
      <c r="J196">
        <v>2</v>
      </c>
    </row>
    <row r="197" spans="1:10" x14ac:dyDescent="0.25">
      <c r="A197" t="s">
        <v>228</v>
      </c>
      <c r="B197" t="s">
        <v>485</v>
      </c>
      <c r="C197" t="s">
        <v>486</v>
      </c>
      <c r="D197" t="s">
        <v>573</v>
      </c>
      <c r="E197" t="s">
        <v>426</v>
      </c>
      <c r="F197">
        <v>2025</v>
      </c>
      <c r="G197">
        <v>1</v>
      </c>
      <c r="H197" t="s">
        <v>231</v>
      </c>
      <c r="I197" t="s">
        <v>232</v>
      </c>
      <c r="J197">
        <v>3</v>
      </c>
    </row>
    <row r="198" spans="1:10" x14ac:dyDescent="0.25">
      <c r="A198" t="s">
        <v>228</v>
      </c>
      <c r="B198" t="s">
        <v>485</v>
      </c>
      <c r="C198" t="s">
        <v>486</v>
      </c>
      <c r="D198" t="s">
        <v>573</v>
      </c>
      <c r="E198" t="s">
        <v>426</v>
      </c>
      <c r="F198">
        <v>2025</v>
      </c>
      <c r="G198">
        <v>1</v>
      </c>
      <c r="H198" t="s">
        <v>233</v>
      </c>
      <c r="I198" t="s">
        <v>234</v>
      </c>
      <c r="J198">
        <v>2</v>
      </c>
    </row>
    <row r="199" spans="1:10" x14ac:dyDescent="0.25">
      <c r="A199" t="s">
        <v>243</v>
      </c>
      <c r="B199" t="s">
        <v>487</v>
      </c>
      <c r="C199" t="s">
        <v>488</v>
      </c>
      <c r="D199" t="s">
        <v>573</v>
      </c>
      <c r="E199" t="s">
        <v>427</v>
      </c>
      <c r="F199">
        <v>2025</v>
      </c>
      <c r="G199">
        <v>1</v>
      </c>
      <c r="H199" t="s">
        <v>24</v>
      </c>
      <c r="I199" t="s">
        <v>25</v>
      </c>
      <c r="J199">
        <v>3</v>
      </c>
    </row>
    <row r="200" spans="1:10" x14ac:dyDescent="0.25">
      <c r="A200" t="s">
        <v>243</v>
      </c>
      <c r="B200" t="s">
        <v>487</v>
      </c>
      <c r="C200" t="s">
        <v>488</v>
      </c>
      <c r="D200" t="s">
        <v>573</v>
      </c>
      <c r="E200" t="s">
        <v>427</v>
      </c>
      <c r="F200">
        <v>2025</v>
      </c>
      <c r="G200">
        <v>1</v>
      </c>
      <c r="H200" t="s">
        <v>17</v>
      </c>
      <c r="I200" t="s">
        <v>18</v>
      </c>
      <c r="J200">
        <v>3</v>
      </c>
    </row>
    <row r="201" spans="1:10" x14ac:dyDescent="0.25">
      <c r="A201" t="s">
        <v>243</v>
      </c>
      <c r="B201" t="s">
        <v>487</v>
      </c>
      <c r="C201" t="s">
        <v>488</v>
      </c>
      <c r="D201" t="s">
        <v>573</v>
      </c>
      <c r="E201" t="s">
        <v>427</v>
      </c>
      <c r="F201">
        <v>2025</v>
      </c>
      <c r="G201">
        <v>1</v>
      </c>
      <c r="H201" t="s">
        <v>28</v>
      </c>
      <c r="I201" t="s">
        <v>29</v>
      </c>
      <c r="J201">
        <v>3</v>
      </c>
    </row>
    <row r="202" spans="1:10" x14ac:dyDescent="0.25">
      <c r="A202" t="s">
        <v>243</v>
      </c>
      <c r="B202" t="s">
        <v>487</v>
      </c>
      <c r="C202" t="s">
        <v>488</v>
      </c>
      <c r="D202" t="s">
        <v>573</v>
      </c>
      <c r="E202" t="s">
        <v>427</v>
      </c>
      <c r="F202">
        <v>2025</v>
      </c>
      <c r="G202">
        <v>1</v>
      </c>
      <c r="H202" t="s">
        <v>50</v>
      </c>
      <c r="I202" t="s">
        <v>51</v>
      </c>
      <c r="J202">
        <v>3</v>
      </c>
    </row>
    <row r="203" spans="1:10" x14ac:dyDescent="0.25">
      <c r="A203" t="s">
        <v>243</v>
      </c>
      <c r="B203" t="s">
        <v>487</v>
      </c>
      <c r="C203" t="s">
        <v>488</v>
      </c>
      <c r="D203" t="s">
        <v>573</v>
      </c>
      <c r="E203" t="s">
        <v>427</v>
      </c>
      <c r="F203">
        <v>2025</v>
      </c>
      <c r="G203">
        <v>1</v>
      </c>
      <c r="H203" t="s">
        <v>32</v>
      </c>
      <c r="I203" t="s">
        <v>33</v>
      </c>
      <c r="J203">
        <v>2</v>
      </c>
    </row>
    <row r="204" spans="1:10" x14ac:dyDescent="0.25">
      <c r="A204" t="s">
        <v>243</v>
      </c>
      <c r="B204" t="s">
        <v>487</v>
      </c>
      <c r="C204" t="s">
        <v>488</v>
      </c>
      <c r="D204" t="s">
        <v>573</v>
      </c>
      <c r="E204" t="s">
        <v>427</v>
      </c>
      <c r="F204">
        <v>2025</v>
      </c>
      <c r="G204">
        <v>1</v>
      </c>
      <c r="H204" t="s">
        <v>101</v>
      </c>
      <c r="I204" t="s">
        <v>102</v>
      </c>
      <c r="J204">
        <v>3</v>
      </c>
    </row>
    <row r="205" spans="1:10" x14ac:dyDescent="0.25">
      <c r="A205" t="s">
        <v>243</v>
      </c>
      <c r="B205" t="s">
        <v>487</v>
      </c>
      <c r="C205" t="s">
        <v>488</v>
      </c>
      <c r="D205" t="s">
        <v>573</v>
      </c>
      <c r="E205" t="s">
        <v>427</v>
      </c>
      <c r="F205">
        <v>2025</v>
      </c>
      <c r="G205">
        <v>1</v>
      </c>
      <c r="H205" t="s">
        <v>34</v>
      </c>
      <c r="I205" t="s">
        <v>35</v>
      </c>
      <c r="J205">
        <v>2</v>
      </c>
    </row>
    <row r="206" spans="1:10" x14ac:dyDescent="0.25">
      <c r="A206" t="s">
        <v>252</v>
      </c>
      <c r="B206" t="s">
        <v>489</v>
      </c>
      <c r="C206" t="s">
        <v>490</v>
      </c>
      <c r="D206" t="s">
        <v>573</v>
      </c>
      <c r="E206" t="s">
        <v>428</v>
      </c>
      <c r="F206">
        <v>2025</v>
      </c>
      <c r="G206">
        <v>1</v>
      </c>
      <c r="H206" t="s">
        <v>24</v>
      </c>
      <c r="I206" t="s">
        <v>25</v>
      </c>
      <c r="J206">
        <v>3</v>
      </c>
    </row>
    <row r="207" spans="1:10" x14ac:dyDescent="0.25">
      <c r="A207" t="s">
        <v>252</v>
      </c>
      <c r="B207" t="s">
        <v>489</v>
      </c>
      <c r="C207" t="s">
        <v>490</v>
      </c>
      <c r="D207" t="s">
        <v>573</v>
      </c>
      <c r="E207" t="s">
        <v>428</v>
      </c>
      <c r="F207">
        <v>2025</v>
      </c>
      <c r="G207">
        <v>1</v>
      </c>
      <c r="H207" t="s">
        <v>17</v>
      </c>
      <c r="I207" t="s">
        <v>18</v>
      </c>
      <c r="J207">
        <v>3</v>
      </c>
    </row>
    <row r="208" spans="1:10" x14ac:dyDescent="0.25">
      <c r="A208" t="s">
        <v>252</v>
      </c>
      <c r="B208" t="s">
        <v>489</v>
      </c>
      <c r="C208" t="s">
        <v>490</v>
      </c>
      <c r="D208" t="s">
        <v>573</v>
      </c>
      <c r="E208" t="s">
        <v>428</v>
      </c>
      <c r="F208">
        <v>2025</v>
      </c>
      <c r="G208">
        <v>1</v>
      </c>
      <c r="H208" t="s">
        <v>106</v>
      </c>
      <c r="I208" t="s">
        <v>107</v>
      </c>
      <c r="J208">
        <v>3</v>
      </c>
    </row>
    <row r="209" spans="1:10" x14ac:dyDescent="0.25">
      <c r="A209" t="s">
        <v>252</v>
      </c>
      <c r="B209" t="s">
        <v>489</v>
      </c>
      <c r="C209" t="s">
        <v>490</v>
      </c>
      <c r="D209" t="s">
        <v>573</v>
      </c>
      <c r="E209" t="s">
        <v>428</v>
      </c>
      <c r="F209">
        <v>2025</v>
      </c>
      <c r="G209">
        <v>1</v>
      </c>
      <c r="H209" t="s">
        <v>32</v>
      </c>
      <c r="I209" t="s">
        <v>33</v>
      </c>
      <c r="J209">
        <v>2</v>
      </c>
    </row>
    <row r="210" spans="1:10" x14ac:dyDescent="0.25">
      <c r="A210" t="s">
        <v>252</v>
      </c>
      <c r="B210" t="s">
        <v>489</v>
      </c>
      <c r="C210" t="s">
        <v>490</v>
      </c>
      <c r="D210" t="s">
        <v>573</v>
      </c>
      <c r="E210" t="s">
        <v>428</v>
      </c>
      <c r="F210">
        <v>2025</v>
      </c>
      <c r="G210">
        <v>1</v>
      </c>
      <c r="H210" t="s">
        <v>34</v>
      </c>
      <c r="I210" t="s">
        <v>35</v>
      </c>
      <c r="J210">
        <v>2</v>
      </c>
    </row>
    <row r="211" spans="1:10" x14ac:dyDescent="0.25">
      <c r="A211" t="s">
        <v>252</v>
      </c>
      <c r="B211" t="s">
        <v>489</v>
      </c>
      <c r="C211" t="s">
        <v>490</v>
      </c>
      <c r="D211" t="s">
        <v>573</v>
      </c>
      <c r="E211" t="s">
        <v>428</v>
      </c>
      <c r="F211">
        <v>2025</v>
      </c>
      <c r="G211">
        <v>1</v>
      </c>
      <c r="H211" t="s">
        <v>187</v>
      </c>
      <c r="I211" t="s">
        <v>188</v>
      </c>
      <c r="J211">
        <v>3</v>
      </c>
    </row>
    <row r="212" spans="1:10" x14ac:dyDescent="0.25">
      <c r="A212" t="s">
        <v>0</v>
      </c>
      <c r="B212" t="s">
        <v>434</v>
      </c>
      <c r="C212" t="s">
        <v>433</v>
      </c>
      <c r="D212" t="s">
        <v>575</v>
      </c>
      <c r="E212" t="s">
        <v>417</v>
      </c>
      <c r="F212">
        <v>2025</v>
      </c>
      <c r="G212">
        <v>1</v>
      </c>
      <c r="H212" t="s">
        <v>253</v>
      </c>
      <c r="I212" t="s">
        <v>254</v>
      </c>
      <c r="J212">
        <v>2</v>
      </c>
    </row>
    <row r="213" spans="1:10" x14ac:dyDescent="0.25">
      <c r="A213" t="s">
        <v>0</v>
      </c>
      <c r="B213" t="s">
        <v>434</v>
      </c>
      <c r="C213" t="s">
        <v>433</v>
      </c>
      <c r="D213" t="s">
        <v>575</v>
      </c>
      <c r="E213" t="s">
        <v>417</v>
      </c>
      <c r="F213">
        <v>2025</v>
      </c>
      <c r="G213">
        <v>1</v>
      </c>
      <c r="H213" t="s">
        <v>255</v>
      </c>
      <c r="I213" t="s">
        <v>256</v>
      </c>
      <c r="J213">
        <v>1</v>
      </c>
    </row>
    <row r="214" spans="1:10" x14ac:dyDescent="0.25">
      <c r="A214" t="s">
        <v>0</v>
      </c>
      <c r="B214" t="s">
        <v>434</v>
      </c>
      <c r="C214" t="s">
        <v>433</v>
      </c>
      <c r="D214" t="s">
        <v>575</v>
      </c>
      <c r="E214" t="s">
        <v>417</v>
      </c>
      <c r="F214">
        <v>2025</v>
      </c>
      <c r="G214">
        <v>1</v>
      </c>
      <c r="H214" t="s">
        <v>257</v>
      </c>
      <c r="I214" t="s">
        <v>258</v>
      </c>
      <c r="J214">
        <v>1</v>
      </c>
    </row>
    <row r="215" spans="1:10" x14ac:dyDescent="0.25">
      <c r="A215" t="s">
        <v>0</v>
      </c>
      <c r="B215" t="s">
        <v>434</v>
      </c>
      <c r="C215" t="s">
        <v>433</v>
      </c>
      <c r="D215" t="s">
        <v>575</v>
      </c>
      <c r="E215" t="s">
        <v>417</v>
      </c>
      <c r="F215">
        <v>2025</v>
      </c>
      <c r="G215">
        <v>1</v>
      </c>
      <c r="H215" t="s">
        <v>259</v>
      </c>
      <c r="I215" t="s">
        <v>260</v>
      </c>
      <c r="J215">
        <v>3</v>
      </c>
    </row>
    <row r="216" spans="1:10" x14ac:dyDescent="0.25">
      <c r="A216" t="s">
        <v>0</v>
      </c>
      <c r="B216" t="s">
        <v>434</v>
      </c>
      <c r="C216" t="s">
        <v>433</v>
      </c>
      <c r="D216" t="s">
        <v>575</v>
      </c>
      <c r="E216" t="s">
        <v>417</v>
      </c>
      <c r="F216">
        <v>2025</v>
      </c>
      <c r="G216">
        <v>1</v>
      </c>
      <c r="H216" t="s">
        <v>3</v>
      </c>
      <c r="I216" t="s">
        <v>4</v>
      </c>
      <c r="J216">
        <v>3</v>
      </c>
    </row>
    <row r="217" spans="1:10" x14ac:dyDescent="0.25">
      <c r="A217" t="s">
        <v>0</v>
      </c>
      <c r="B217" t="s">
        <v>434</v>
      </c>
      <c r="C217" t="s">
        <v>433</v>
      </c>
      <c r="D217" t="s">
        <v>575</v>
      </c>
      <c r="E217" t="s">
        <v>417</v>
      </c>
      <c r="F217">
        <v>2025</v>
      </c>
      <c r="G217">
        <v>1</v>
      </c>
      <c r="H217" t="s">
        <v>8</v>
      </c>
      <c r="I217" t="s">
        <v>9</v>
      </c>
      <c r="J217">
        <v>3</v>
      </c>
    </row>
    <row r="218" spans="1:10" x14ac:dyDescent="0.25">
      <c r="A218" t="s">
        <v>0</v>
      </c>
      <c r="B218" t="s">
        <v>434</v>
      </c>
      <c r="C218" t="s">
        <v>433</v>
      </c>
      <c r="D218" t="s">
        <v>575</v>
      </c>
      <c r="E218" t="s">
        <v>417</v>
      </c>
      <c r="F218">
        <v>2025</v>
      </c>
      <c r="G218">
        <v>1</v>
      </c>
      <c r="H218" t="s">
        <v>10</v>
      </c>
      <c r="I218" t="s">
        <v>11</v>
      </c>
      <c r="J218">
        <v>3</v>
      </c>
    </row>
    <row r="219" spans="1:10" x14ac:dyDescent="0.25">
      <c r="A219" t="s">
        <v>0</v>
      </c>
      <c r="B219" t="s">
        <v>434</v>
      </c>
      <c r="C219" t="s">
        <v>433</v>
      </c>
      <c r="D219" t="s">
        <v>575</v>
      </c>
      <c r="E219" t="s">
        <v>417</v>
      </c>
      <c r="F219">
        <v>2025</v>
      </c>
      <c r="G219">
        <v>1</v>
      </c>
      <c r="H219" t="s">
        <v>12</v>
      </c>
      <c r="I219" t="s">
        <v>13</v>
      </c>
      <c r="J219">
        <v>3</v>
      </c>
    </row>
    <row r="220" spans="1:10" x14ac:dyDescent="0.25">
      <c r="A220" t="s">
        <v>68</v>
      </c>
      <c r="B220" t="s">
        <v>436</v>
      </c>
      <c r="C220" t="s">
        <v>435</v>
      </c>
      <c r="D220" t="s">
        <v>575</v>
      </c>
      <c r="E220" t="s">
        <v>418</v>
      </c>
      <c r="F220">
        <v>2025</v>
      </c>
      <c r="G220">
        <v>1</v>
      </c>
      <c r="H220" t="s">
        <v>253</v>
      </c>
      <c r="I220" t="s">
        <v>254</v>
      </c>
      <c r="J220">
        <v>2</v>
      </c>
    </row>
    <row r="221" spans="1:10" x14ac:dyDescent="0.25">
      <c r="A221" t="s">
        <v>68</v>
      </c>
      <c r="B221" t="s">
        <v>436</v>
      </c>
      <c r="C221" t="s">
        <v>435</v>
      </c>
      <c r="D221" t="s">
        <v>575</v>
      </c>
      <c r="E221" t="s">
        <v>418</v>
      </c>
      <c r="F221">
        <v>2025</v>
      </c>
      <c r="G221">
        <v>1</v>
      </c>
      <c r="H221" t="s">
        <v>255</v>
      </c>
      <c r="I221" t="s">
        <v>256</v>
      </c>
      <c r="J221">
        <v>1</v>
      </c>
    </row>
    <row r="222" spans="1:10" x14ac:dyDescent="0.25">
      <c r="A222" t="s">
        <v>68</v>
      </c>
      <c r="B222" t="s">
        <v>436</v>
      </c>
      <c r="C222" t="s">
        <v>435</v>
      </c>
      <c r="D222" t="s">
        <v>575</v>
      </c>
      <c r="E222" t="s">
        <v>418</v>
      </c>
      <c r="F222">
        <v>2025</v>
      </c>
      <c r="G222">
        <v>1</v>
      </c>
      <c r="H222" t="s">
        <v>257</v>
      </c>
      <c r="I222" t="s">
        <v>258</v>
      </c>
      <c r="J222">
        <v>1</v>
      </c>
    </row>
    <row r="223" spans="1:10" x14ac:dyDescent="0.25">
      <c r="A223" t="s">
        <v>68</v>
      </c>
      <c r="B223" t="s">
        <v>436</v>
      </c>
      <c r="C223" t="s">
        <v>435</v>
      </c>
      <c r="D223" t="s">
        <v>575</v>
      </c>
      <c r="E223" t="s">
        <v>418</v>
      </c>
      <c r="F223">
        <v>2025</v>
      </c>
      <c r="G223">
        <v>1</v>
      </c>
      <c r="H223" t="s">
        <v>259</v>
      </c>
      <c r="I223" t="s">
        <v>260</v>
      </c>
      <c r="J223">
        <v>3</v>
      </c>
    </row>
    <row r="224" spans="1:10" x14ac:dyDescent="0.25">
      <c r="A224" t="s">
        <v>68</v>
      </c>
      <c r="B224" t="s">
        <v>436</v>
      </c>
      <c r="C224" t="s">
        <v>435</v>
      </c>
      <c r="D224" t="s">
        <v>575</v>
      </c>
      <c r="E224" t="s">
        <v>418</v>
      </c>
      <c r="F224">
        <v>2025</v>
      </c>
      <c r="G224">
        <v>1</v>
      </c>
      <c r="H224" t="s">
        <v>6</v>
      </c>
      <c r="I224" t="s">
        <v>7</v>
      </c>
      <c r="J224">
        <v>3</v>
      </c>
    </row>
    <row r="225" spans="1:10" x14ac:dyDescent="0.25">
      <c r="A225" t="s">
        <v>68</v>
      </c>
      <c r="B225" t="s">
        <v>436</v>
      </c>
      <c r="C225" t="s">
        <v>435</v>
      </c>
      <c r="D225" t="s">
        <v>575</v>
      </c>
      <c r="E225" t="s">
        <v>418</v>
      </c>
      <c r="F225">
        <v>2025</v>
      </c>
      <c r="G225">
        <v>1</v>
      </c>
      <c r="H225" t="s">
        <v>69</v>
      </c>
      <c r="I225" t="s">
        <v>70</v>
      </c>
      <c r="J225">
        <v>3</v>
      </c>
    </row>
    <row r="226" spans="1:10" x14ac:dyDescent="0.25">
      <c r="A226" t="s">
        <v>68</v>
      </c>
      <c r="B226" t="s">
        <v>436</v>
      </c>
      <c r="C226" t="s">
        <v>435</v>
      </c>
      <c r="D226" t="s">
        <v>575</v>
      </c>
      <c r="E226" t="s">
        <v>418</v>
      </c>
      <c r="F226">
        <v>2025</v>
      </c>
      <c r="G226">
        <v>1</v>
      </c>
      <c r="H226" t="s">
        <v>73</v>
      </c>
      <c r="I226" t="s">
        <v>74</v>
      </c>
      <c r="J226">
        <v>2</v>
      </c>
    </row>
    <row r="227" spans="1:10" x14ac:dyDescent="0.25">
      <c r="A227" t="s">
        <v>68</v>
      </c>
      <c r="B227" t="s">
        <v>436</v>
      </c>
      <c r="C227" t="s">
        <v>435</v>
      </c>
      <c r="D227" t="s">
        <v>575</v>
      </c>
      <c r="E227" t="s">
        <v>418</v>
      </c>
      <c r="F227">
        <v>2025</v>
      </c>
      <c r="G227">
        <v>1</v>
      </c>
      <c r="H227" t="s">
        <v>8</v>
      </c>
      <c r="I227" t="s">
        <v>9</v>
      </c>
      <c r="J227">
        <v>3</v>
      </c>
    </row>
    <row r="228" spans="1:10" x14ac:dyDescent="0.25">
      <c r="A228" t="s">
        <v>94</v>
      </c>
      <c r="B228" t="s">
        <v>438</v>
      </c>
      <c r="C228" t="s">
        <v>437</v>
      </c>
      <c r="D228" t="s">
        <v>575</v>
      </c>
      <c r="E228" t="s">
        <v>419</v>
      </c>
      <c r="F228">
        <v>2025</v>
      </c>
      <c r="G228">
        <v>1</v>
      </c>
      <c r="H228" t="s">
        <v>253</v>
      </c>
      <c r="I228" t="s">
        <v>254</v>
      </c>
      <c r="J228">
        <v>2</v>
      </c>
    </row>
    <row r="229" spans="1:10" x14ac:dyDescent="0.25">
      <c r="A229" t="s">
        <v>94</v>
      </c>
      <c r="B229" t="s">
        <v>438</v>
      </c>
      <c r="C229" t="s">
        <v>437</v>
      </c>
      <c r="D229" t="s">
        <v>575</v>
      </c>
      <c r="E229" t="s">
        <v>419</v>
      </c>
      <c r="F229">
        <v>2025</v>
      </c>
      <c r="G229">
        <v>1</v>
      </c>
      <c r="H229" t="s">
        <v>255</v>
      </c>
      <c r="I229" t="s">
        <v>256</v>
      </c>
      <c r="J229">
        <v>1</v>
      </c>
    </row>
    <row r="230" spans="1:10" x14ac:dyDescent="0.25">
      <c r="A230" t="s">
        <v>94</v>
      </c>
      <c r="B230" t="s">
        <v>438</v>
      </c>
      <c r="C230" t="s">
        <v>437</v>
      </c>
      <c r="D230" t="s">
        <v>575</v>
      </c>
      <c r="E230" t="s">
        <v>419</v>
      </c>
      <c r="F230">
        <v>2025</v>
      </c>
      <c r="G230">
        <v>1</v>
      </c>
      <c r="H230" t="s">
        <v>257</v>
      </c>
      <c r="I230" t="s">
        <v>258</v>
      </c>
      <c r="J230">
        <v>1</v>
      </c>
    </row>
    <row r="231" spans="1:10" x14ac:dyDescent="0.25">
      <c r="A231" t="s">
        <v>94</v>
      </c>
      <c r="B231" t="s">
        <v>438</v>
      </c>
      <c r="C231" t="s">
        <v>437</v>
      </c>
      <c r="D231" t="s">
        <v>575</v>
      </c>
      <c r="E231" t="s">
        <v>419</v>
      </c>
      <c r="F231">
        <v>2025</v>
      </c>
      <c r="G231">
        <v>1</v>
      </c>
      <c r="H231" t="s">
        <v>259</v>
      </c>
      <c r="I231" t="s">
        <v>260</v>
      </c>
      <c r="J231">
        <v>3</v>
      </c>
    </row>
    <row r="232" spans="1:10" x14ac:dyDescent="0.25">
      <c r="A232" t="s">
        <v>94</v>
      </c>
      <c r="B232" t="s">
        <v>438</v>
      </c>
      <c r="C232" t="s">
        <v>437</v>
      </c>
      <c r="D232" t="s">
        <v>575</v>
      </c>
      <c r="E232" t="s">
        <v>419</v>
      </c>
      <c r="F232">
        <v>2025</v>
      </c>
      <c r="G232">
        <v>1</v>
      </c>
      <c r="H232" t="s">
        <v>71</v>
      </c>
      <c r="I232" t="s">
        <v>72</v>
      </c>
      <c r="J232">
        <v>3</v>
      </c>
    </row>
    <row r="233" spans="1:10" x14ac:dyDescent="0.25">
      <c r="A233" t="s">
        <v>94</v>
      </c>
      <c r="B233" t="s">
        <v>438</v>
      </c>
      <c r="C233" t="s">
        <v>437</v>
      </c>
      <c r="D233" t="s">
        <v>575</v>
      </c>
      <c r="E233" t="s">
        <v>419</v>
      </c>
      <c r="F233">
        <v>2025</v>
      </c>
      <c r="G233">
        <v>1</v>
      </c>
      <c r="H233" t="s">
        <v>95</v>
      </c>
      <c r="I233" t="s">
        <v>96</v>
      </c>
      <c r="J233">
        <v>3</v>
      </c>
    </row>
    <row r="234" spans="1:10" x14ac:dyDescent="0.25">
      <c r="A234" t="s">
        <v>94</v>
      </c>
      <c r="B234" t="s">
        <v>438</v>
      </c>
      <c r="C234" t="s">
        <v>437</v>
      </c>
      <c r="D234" t="s">
        <v>575</v>
      </c>
      <c r="E234" t="s">
        <v>419</v>
      </c>
      <c r="F234">
        <v>2025</v>
      </c>
      <c r="G234">
        <v>1</v>
      </c>
      <c r="H234" t="s">
        <v>6</v>
      </c>
      <c r="I234" t="s">
        <v>7</v>
      </c>
      <c r="J234">
        <v>3</v>
      </c>
    </row>
    <row r="235" spans="1:10" x14ac:dyDescent="0.25">
      <c r="A235" t="s">
        <v>94</v>
      </c>
      <c r="B235" t="s">
        <v>438</v>
      </c>
      <c r="C235" t="s">
        <v>437</v>
      </c>
      <c r="D235" t="s">
        <v>575</v>
      </c>
      <c r="E235" t="s">
        <v>419</v>
      </c>
      <c r="F235">
        <v>2025</v>
      </c>
      <c r="G235">
        <v>1</v>
      </c>
      <c r="H235" t="s">
        <v>261</v>
      </c>
      <c r="I235" t="s">
        <v>262</v>
      </c>
      <c r="J235">
        <v>3</v>
      </c>
    </row>
    <row r="236" spans="1:10" x14ac:dyDescent="0.25">
      <c r="A236" t="s">
        <v>105</v>
      </c>
      <c r="B236" t="s">
        <v>440</v>
      </c>
      <c r="C236" t="s">
        <v>439</v>
      </c>
      <c r="D236" t="s">
        <v>575</v>
      </c>
      <c r="E236" t="s">
        <v>420</v>
      </c>
      <c r="F236">
        <v>2025</v>
      </c>
      <c r="G236">
        <v>1</v>
      </c>
      <c r="H236" t="s">
        <v>253</v>
      </c>
      <c r="I236" t="s">
        <v>254</v>
      </c>
      <c r="J236">
        <v>2</v>
      </c>
    </row>
    <row r="237" spans="1:10" x14ac:dyDescent="0.25">
      <c r="A237" t="s">
        <v>105</v>
      </c>
      <c r="B237" t="s">
        <v>440</v>
      </c>
      <c r="C237" t="s">
        <v>439</v>
      </c>
      <c r="D237" t="s">
        <v>575</v>
      </c>
      <c r="E237" t="s">
        <v>420</v>
      </c>
      <c r="F237">
        <v>2025</v>
      </c>
      <c r="G237">
        <v>1</v>
      </c>
      <c r="H237" t="s">
        <v>255</v>
      </c>
      <c r="I237" t="s">
        <v>256</v>
      </c>
      <c r="J237">
        <v>1</v>
      </c>
    </row>
    <row r="238" spans="1:10" x14ac:dyDescent="0.25">
      <c r="A238" t="s">
        <v>105</v>
      </c>
      <c r="B238" t="s">
        <v>440</v>
      </c>
      <c r="C238" t="s">
        <v>439</v>
      </c>
      <c r="D238" t="s">
        <v>575</v>
      </c>
      <c r="E238" t="s">
        <v>420</v>
      </c>
      <c r="F238">
        <v>2025</v>
      </c>
      <c r="G238">
        <v>1</v>
      </c>
      <c r="H238" t="s">
        <v>257</v>
      </c>
      <c r="I238" t="s">
        <v>258</v>
      </c>
      <c r="J238">
        <v>1</v>
      </c>
    </row>
    <row r="239" spans="1:10" x14ac:dyDescent="0.25">
      <c r="A239" t="s">
        <v>105</v>
      </c>
      <c r="B239" t="s">
        <v>440</v>
      </c>
      <c r="C239" t="s">
        <v>439</v>
      </c>
      <c r="D239" t="s">
        <v>575</v>
      </c>
      <c r="E239" t="s">
        <v>420</v>
      </c>
      <c r="F239">
        <v>2025</v>
      </c>
      <c r="G239">
        <v>1</v>
      </c>
      <c r="H239" t="s">
        <v>259</v>
      </c>
      <c r="I239" t="s">
        <v>260</v>
      </c>
      <c r="J239">
        <v>3</v>
      </c>
    </row>
    <row r="240" spans="1:10" x14ac:dyDescent="0.25">
      <c r="A240" t="s">
        <v>105</v>
      </c>
      <c r="B240" t="s">
        <v>440</v>
      </c>
      <c r="C240" t="s">
        <v>439</v>
      </c>
      <c r="D240" t="s">
        <v>575</v>
      </c>
      <c r="E240" t="s">
        <v>420</v>
      </c>
      <c r="F240">
        <v>2025</v>
      </c>
      <c r="G240">
        <v>1</v>
      </c>
      <c r="H240" t="s">
        <v>71</v>
      </c>
      <c r="I240" t="s">
        <v>72</v>
      </c>
      <c r="J240">
        <v>3</v>
      </c>
    </row>
    <row r="241" spans="1:10" x14ac:dyDescent="0.25">
      <c r="A241" t="s">
        <v>105</v>
      </c>
      <c r="B241" t="s">
        <v>440</v>
      </c>
      <c r="C241" t="s">
        <v>439</v>
      </c>
      <c r="D241" t="s">
        <v>575</v>
      </c>
      <c r="E241" t="s">
        <v>420</v>
      </c>
      <c r="F241">
        <v>2025</v>
      </c>
      <c r="G241">
        <v>1</v>
      </c>
      <c r="H241" t="s">
        <v>73</v>
      </c>
      <c r="I241" t="s">
        <v>74</v>
      </c>
      <c r="J241">
        <v>2</v>
      </c>
    </row>
    <row r="242" spans="1:10" x14ac:dyDescent="0.25">
      <c r="A242" t="s">
        <v>105</v>
      </c>
      <c r="B242" t="s">
        <v>440</v>
      </c>
      <c r="C242" t="s">
        <v>439</v>
      </c>
      <c r="D242" t="s">
        <v>575</v>
      </c>
      <c r="E242" t="s">
        <v>420</v>
      </c>
      <c r="F242">
        <v>2025</v>
      </c>
      <c r="G242">
        <v>1</v>
      </c>
      <c r="H242" t="s">
        <v>3</v>
      </c>
      <c r="I242" t="s">
        <v>4</v>
      </c>
      <c r="J242">
        <v>3</v>
      </c>
    </row>
    <row r="243" spans="1:10" x14ac:dyDescent="0.25">
      <c r="A243" t="s">
        <v>105</v>
      </c>
      <c r="B243" t="s">
        <v>440</v>
      </c>
      <c r="C243" t="s">
        <v>439</v>
      </c>
      <c r="D243" t="s">
        <v>575</v>
      </c>
      <c r="E243" t="s">
        <v>420</v>
      </c>
      <c r="F243">
        <v>2025</v>
      </c>
      <c r="G243">
        <v>1</v>
      </c>
      <c r="H243" t="s">
        <v>19</v>
      </c>
      <c r="I243" t="s">
        <v>20</v>
      </c>
      <c r="J243">
        <v>3</v>
      </c>
    </row>
    <row r="244" spans="1:10" x14ac:dyDescent="0.25">
      <c r="A244" t="s">
        <v>129</v>
      </c>
      <c r="B244" t="s">
        <v>414</v>
      </c>
      <c r="C244" t="s">
        <v>576</v>
      </c>
      <c r="D244" t="s">
        <v>575</v>
      </c>
      <c r="E244" t="s">
        <v>416</v>
      </c>
      <c r="F244">
        <v>2025</v>
      </c>
      <c r="G244">
        <v>1</v>
      </c>
      <c r="H244" t="s">
        <v>253</v>
      </c>
      <c r="I244" t="s">
        <v>254</v>
      </c>
      <c r="J244">
        <v>2</v>
      </c>
    </row>
    <row r="245" spans="1:10" x14ac:dyDescent="0.25">
      <c r="A245" t="s">
        <v>129</v>
      </c>
      <c r="B245" t="s">
        <v>414</v>
      </c>
      <c r="C245" t="s">
        <v>576</v>
      </c>
      <c r="D245" t="s">
        <v>575</v>
      </c>
      <c r="E245" t="s">
        <v>416</v>
      </c>
      <c r="F245">
        <v>2025</v>
      </c>
      <c r="G245">
        <v>1</v>
      </c>
      <c r="H245" t="s">
        <v>255</v>
      </c>
      <c r="I245" t="s">
        <v>256</v>
      </c>
      <c r="J245">
        <v>1</v>
      </c>
    </row>
    <row r="246" spans="1:10" x14ac:dyDescent="0.25">
      <c r="A246" t="s">
        <v>129</v>
      </c>
      <c r="B246" t="s">
        <v>414</v>
      </c>
      <c r="C246" t="s">
        <v>576</v>
      </c>
      <c r="D246" t="s">
        <v>575</v>
      </c>
      <c r="E246" t="s">
        <v>416</v>
      </c>
      <c r="F246">
        <v>2025</v>
      </c>
      <c r="G246">
        <v>1</v>
      </c>
      <c r="H246" t="s">
        <v>257</v>
      </c>
      <c r="I246" t="s">
        <v>258</v>
      </c>
      <c r="J246">
        <v>1</v>
      </c>
    </row>
    <row r="247" spans="1:10" x14ac:dyDescent="0.25">
      <c r="A247" t="s">
        <v>129</v>
      </c>
      <c r="B247" t="s">
        <v>414</v>
      </c>
      <c r="C247" t="s">
        <v>576</v>
      </c>
      <c r="D247" t="s">
        <v>575</v>
      </c>
      <c r="E247" t="s">
        <v>416</v>
      </c>
      <c r="F247">
        <v>2025</v>
      </c>
      <c r="G247">
        <v>1</v>
      </c>
      <c r="H247" t="s">
        <v>259</v>
      </c>
      <c r="I247" t="s">
        <v>260</v>
      </c>
      <c r="J247">
        <v>3</v>
      </c>
    </row>
    <row r="248" spans="1:10" x14ac:dyDescent="0.25">
      <c r="A248" t="s">
        <v>129</v>
      </c>
      <c r="B248" t="s">
        <v>414</v>
      </c>
      <c r="C248" t="s">
        <v>576</v>
      </c>
      <c r="D248" t="s">
        <v>575</v>
      </c>
      <c r="E248" t="s">
        <v>416</v>
      </c>
      <c r="F248">
        <v>2025</v>
      </c>
      <c r="G248">
        <v>1</v>
      </c>
      <c r="H248" t="s">
        <v>3</v>
      </c>
      <c r="I248" t="s">
        <v>4</v>
      </c>
      <c r="J248">
        <v>3</v>
      </c>
    </row>
    <row r="249" spans="1:10" x14ac:dyDescent="0.25">
      <c r="A249" t="s">
        <v>129</v>
      </c>
      <c r="B249" t="s">
        <v>414</v>
      </c>
      <c r="C249" t="s">
        <v>576</v>
      </c>
      <c r="D249" t="s">
        <v>575</v>
      </c>
      <c r="E249" t="s">
        <v>416</v>
      </c>
      <c r="F249">
        <v>2025</v>
      </c>
      <c r="G249">
        <v>1</v>
      </c>
      <c r="H249" t="s">
        <v>10</v>
      </c>
      <c r="I249" t="s">
        <v>11</v>
      </c>
      <c r="J249">
        <v>3</v>
      </c>
    </row>
    <row r="250" spans="1:10" x14ac:dyDescent="0.25">
      <c r="A250" t="s">
        <v>129</v>
      </c>
      <c r="B250" t="s">
        <v>414</v>
      </c>
      <c r="C250" t="s">
        <v>576</v>
      </c>
      <c r="D250" t="s">
        <v>575</v>
      </c>
      <c r="E250" t="s">
        <v>416</v>
      </c>
      <c r="F250">
        <v>2025</v>
      </c>
      <c r="G250">
        <v>1</v>
      </c>
      <c r="H250" t="s">
        <v>12</v>
      </c>
      <c r="I250" t="s">
        <v>13</v>
      </c>
      <c r="J250">
        <v>3</v>
      </c>
    </row>
    <row r="251" spans="1:10" x14ac:dyDescent="0.25">
      <c r="A251" t="s">
        <v>129</v>
      </c>
      <c r="B251" t="s">
        <v>414</v>
      </c>
      <c r="C251" t="s">
        <v>576</v>
      </c>
      <c r="D251" t="s">
        <v>575</v>
      </c>
      <c r="E251" t="s">
        <v>416</v>
      </c>
      <c r="F251">
        <v>2025</v>
      </c>
      <c r="G251">
        <v>1</v>
      </c>
      <c r="H251" t="s">
        <v>19</v>
      </c>
      <c r="I251" t="s">
        <v>20</v>
      </c>
      <c r="J251">
        <v>3</v>
      </c>
    </row>
    <row r="252" spans="1:10" x14ac:dyDescent="0.25">
      <c r="A252" t="s">
        <v>270</v>
      </c>
      <c r="B252" t="s">
        <v>442</v>
      </c>
      <c r="C252" t="s">
        <v>441</v>
      </c>
      <c r="D252" t="s">
        <v>575</v>
      </c>
      <c r="E252" t="s">
        <v>577</v>
      </c>
      <c r="F252">
        <v>2025</v>
      </c>
      <c r="G252">
        <v>1</v>
      </c>
      <c r="H252" t="s">
        <v>253</v>
      </c>
      <c r="I252" t="s">
        <v>254</v>
      </c>
      <c r="J252">
        <v>2</v>
      </c>
    </row>
    <row r="253" spans="1:10" x14ac:dyDescent="0.25">
      <c r="A253" t="s">
        <v>270</v>
      </c>
      <c r="B253" t="s">
        <v>442</v>
      </c>
      <c r="C253" t="s">
        <v>441</v>
      </c>
      <c r="D253" t="s">
        <v>575</v>
      </c>
      <c r="E253" t="s">
        <v>577</v>
      </c>
      <c r="F253">
        <v>2025</v>
      </c>
      <c r="G253">
        <v>1</v>
      </c>
      <c r="H253" t="s">
        <v>255</v>
      </c>
      <c r="I253" t="s">
        <v>256</v>
      </c>
      <c r="J253">
        <v>1</v>
      </c>
    </row>
    <row r="254" spans="1:10" x14ac:dyDescent="0.25">
      <c r="A254" t="s">
        <v>270</v>
      </c>
      <c r="B254" t="s">
        <v>442</v>
      </c>
      <c r="C254" t="s">
        <v>441</v>
      </c>
      <c r="D254" t="s">
        <v>575</v>
      </c>
      <c r="E254" t="s">
        <v>577</v>
      </c>
      <c r="F254">
        <v>2025</v>
      </c>
      <c r="G254">
        <v>1</v>
      </c>
      <c r="H254" t="s">
        <v>257</v>
      </c>
      <c r="I254" t="s">
        <v>258</v>
      </c>
      <c r="J254">
        <v>1</v>
      </c>
    </row>
    <row r="255" spans="1:10" x14ac:dyDescent="0.25">
      <c r="A255" t="s">
        <v>270</v>
      </c>
      <c r="B255" t="s">
        <v>442</v>
      </c>
      <c r="C255" t="s">
        <v>441</v>
      </c>
      <c r="D255" t="s">
        <v>575</v>
      </c>
      <c r="E255" t="s">
        <v>577</v>
      </c>
      <c r="F255">
        <v>2025</v>
      </c>
      <c r="G255">
        <v>1</v>
      </c>
      <c r="H255" t="s">
        <v>259</v>
      </c>
      <c r="I255" t="s">
        <v>260</v>
      </c>
      <c r="J255">
        <v>3</v>
      </c>
    </row>
    <row r="256" spans="1:10" x14ac:dyDescent="0.25">
      <c r="A256" t="s">
        <v>270</v>
      </c>
      <c r="B256" t="s">
        <v>442</v>
      </c>
      <c r="C256" t="s">
        <v>441</v>
      </c>
      <c r="D256" t="s">
        <v>575</v>
      </c>
      <c r="E256" t="s">
        <v>577</v>
      </c>
      <c r="F256">
        <v>2025</v>
      </c>
      <c r="G256">
        <v>1</v>
      </c>
      <c r="H256" t="s">
        <v>271</v>
      </c>
      <c r="I256" t="s">
        <v>272</v>
      </c>
      <c r="J256">
        <v>2</v>
      </c>
    </row>
    <row r="257" spans="1:10" x14ac:dyDescent="0.25">
      <c r="A257" t="s">
        <v>270</v>
      </c>
      <c r="B257" t="s">
        <v>442</v>
      </c>
      <c r="C257" t="s">
        <v>441</v>
      </c>
      <c r="D257" t="s">
        <v>575</v>
      </c>
      <c r="E257" t="s">
        <v>577</v>
      </c>
      <c r="F257">
        <v>2025</v>
      </c>
      <c r="G257">
        <v>1</v>
      </c>
      <c r="H257" t="s">
        <v>6</v>
      </c>
      <c r="I257" t="s">
        <v>7</v>
      </c>
      <c r="J257">
        <v>3</v>
      </c>
    </row>
    <row r="258" spans="1:10" x14ac:dyDescent="0.25">
      <c r="A258" t="s">
        <v>270</v>
      </c>
      <c r="B258" t="s">
        <v>442</v>
      </c>
      <c r="C258" t="s">
        <v>441</v>
      </c>
      <c r="D258" t="s">
        <v>575</v>
      </c>
      <c r="E258" t="s">
        <v>577</v>
      </c>
      <c r="F258">
        <v>2025</v>
      </c>
      <c r="G258">
        <v>1</v>
      </c>
      <c r="H258" t="s">
        <v>8</v>
      </c>
      <c r="I258" t="s">
        <v>9</v>
      </c>
      <c r="J258">
        <v>3</v>
      </c>
    </row>
    <row r="259" spans="1:10" x14ac:dyDescent="0.25">
      <c r="A259" t="s">
        <v>270</v>
      </c>
      <c r="B259" t="s">
        <v>442</v>
      </c>
      <c r="C259" t="s">
        <v>441</v>
      </c>
      <c r="D259" t="s">
        <v>575</v>
      </c>
      <c r="E259" t="s">
        <v>577</v>
      </c>
      <c r="F259">
        <v>2025</v>
      </c>
      <c r="G259">
        <v>1</v>
      </c>
      <c r="H259" t="s">
        <v>32</v>
      </c>
      <c r="I259" t="s">
        <v>33</v>
      </c>
      <c r="J259">
        <v>2</v>
      </c>
    </row>
    <row r="260" spans="1:10" x14ac:dyDescent="0.25">
      <c r="A260" t="s">
        <v>267</v>
      </c>
      <c r="B260" t="s">
        <v>276</v>
      </c>
      <c r="C260" t="s">
        <v>443</v>
      </c>
      <c r="D260" t="s">
        <v>575</v>
      </c>
      <c r="E260" t="s">
        <v>574</v>
      </c>
      <c r="F260">
        <v>2025</v>
      </c>
      <c r="G260">
        <v>1</v>
      </c>
      <c r="H260" t="s">
        <v>253</v>
      </c>
      <c r="I260" t="s">
        <v>254</v>
      </c>
      <c r="J260">
        <v>2</v>
      </c>
    </row>
    <row r="261" spans="1:10" x14ac:dyDescent="0.25">
      <c r="A261" t="s">
        <v>267</v>
      </c>
      <c r="B261" t="s">
        <v>276</v>
      </c>
      <c r="C261" t="s">
        <v>443</v>
      </c>
      <c r="D261" t="s">
        <v>575</v>
      </c>
      <c r="E261" t="s">
        <v>574</v>
      </c>
      <c r="F261">
        <v>2025</v>
      </c>
      <c r="G261">
        <v>1</v>
      </c>
      <c r="H261" t="s">
        <v>255</v>
      </c>
      <c r="I261" t="s">
        <v>256</v>
      </c>
      <c r="J261">
        <v>1</v>
      </c>
    </row>
    <row r="262" spans="1:10" x14ac:dyDescent="0.25">
      <c r="A262" t="s">
        <v>267</v>
      </c>
      <c r="B262" t="s">
        <v>276</v>
      </c>
      <c r="C262" t="s">
        <v>443</v>
      </c>
      <c r="D262" t="s">
        <v>575</v>
      </c>
      <c r="E262" t="s">
        <v>574</v>
      </c>
      <c r="F262">
        <v>2025</v>
      </c>
      <c r="G262">
        <v>1</v>
      </c>
      <c r="H262" t="s">
        <v>257</v>
      </c>
      <c r="I262" t="s">
        <v>258</v>
      </c>
      <c r="J262">
        <v>1</v>
      </c>
    </row>
    <row r="263" spans="1:10" x14ac:dyDescent="0.25">
      <c r="A263" t="s">
        <v>267</v>
      </c>
      <c r="B263" t="s">
        <v>276</v>
      </c>
      <c r="C263" t="s">
        <v>443</v>
      </c>
      <c r="D263" t="s">
        <v>575</v>
      </c>
      <c r="E263" t="s">
        <v>574</v>
      </c>
      <c r="F263">
        <v>2025</v>
      </c>
      <c r="G263">
        <v>1</v>
      </c>
      <c r="H263" t="s">
        <v>259</v>
      </c>
      <c r="I263" t="s">
        <v>260</v>
      </c>
      <c r="J263">
        <v>3</v>
      </c>
    </row>
    <row r="264" spans="1:10" x14ac:dyDescent="0.25">
      <c r="A264" t="s">
        <v>267</v>
      </c>
      <c r="B264" t="s">
        <v>276</v>
      </c>
      <c r="C264" t="s">
        <v>443</v>
      </c>
      <c r="D264" t="s">
        <v>575</v>
      </c>
      <c r="E264" t="s">
        <v>574</v>
      </c>
      <c r="F264">
        <v>2025</v>
      </c>
      <c r="G264">
        <v>1</v>
      </c>
      <c r="H264" t="s">
        <v>3</v>
      </c>
      <c r="I264" t="s">
        <v>4</v>
      </c>
      <c r="J264">
        <v>3</v>
      </c>
    </row>
    <row r="265" spans="1:10" x14ac:dyDescent="0.25">
      <c r="A265" t="s">
        <v>267</v>
      </c>
      <c r="B265" t="s">
        <v>276</v>
      </c>
      <c r="C265" t="s">
        <v>443</v>
      </c>
      <c r="D265" t="s">
        <v>575</v>
      </c>
      <c r="E265" t="s">
        <v>574</v>
      </c>
      <c r="F265">
        <v>2025</v>
      </c>
      <c r="G265">
        <v>1</v>
      </c>
      <c r="H265" t="s">
        <v>10</v>
      </c>
      <c r="I265" t="s">
        <v>11</v>
      </c>
      <c r="J265">
        <v>3</v>
      </c>
    </row>
    <row r="266" spans="1:10" x14ac:dyDescent="0.25">
      <c r="A266" t="s">
        <v>267</v>
      </c>
      <c r="B266" t="s">
        <v>276</v>
      </c>
      <c r="C266" t="s">
        <v>443</v>
      </c>
      <c r="D266" t="s">
        <v>575</v>
      </c>
      <c r="E266" t="s">
        <v>574</v>
      </c>
      <c r="F266">
        <v>2025</v>
      </c>
      <c r="G266">
        <v>1</v>
      </c>
      <c r="H266" t="s">
        <v>12</v>
      </c>
      <c r="I266" t="s">
        <v>13</v>
      </c>
      <c r="J266">
        <v>3</v>
      </c>
    </row>
    <row r="267" spans="1:10" x14ac:dyDescent="0.25">
      <c r="A267" t="s">
        <v>267</v>
      </c>
      <c r="B267" t="s">
        <v>276</v>
      </c>
      <c r="C267" t="s">
        <v>443</v>
      </c>
      <c r="D267" t="s">
        <v>575</v>
      </c>
      <c r="E267" t="s">
        <v>574</v>
      </c>
      <c r="F267">
        <v>2025</v>
      </c>
      <c r="G267">
        <v>1</v>
      </c>
      <c r="H267" t="s">
        <v>19</v>
      </c>
      <c r="I267" t="s">
        <v>20</v>
      </c>
      <c r="J267">
        <v>3</v>
      </c>
    </row>
    <row r="268" spans="1:10" x14ac:dyDescent="0.25">
      <c r="A268" t="s">
        <v>146</v>
      </c>
      <c r="B268" t="s">
        <v>275</v>
      </c>
      <c r="C268" t="s">
        <v>444</v>
      </c>
      <c r="D268" t="s">
        <v>575</v>
      </c>
      <c r="E268" t="s">
        <v>415</v>
      </c>
      <c r="F268">
        <v>2025</v>
      </c>
      <c r="G268">
        <v>1</v>
      </c>
      <c r="H268" t="s">
        <v>253</v>
      </c>
      <c r="I268" t="s">
        <v>254</v>
      </c>
      <c r="J268">
        <v>2</v>
      </c>
    </row>
    <row r="269" spans="1:10" x14ac:dyDescent="0.25">
      <c r="A269" t="s">
        <v>146</v>
      </c>
      <c r="B269" t="s">
        <v>275</v>
      </c>
      <c r="C269" t="s">
        <v>444</v>
      </c>
      <c r="D269" t="s">
        <v>575</v>
      </c>
      <c r="E269" t="s">
        <v>415</v>
      </c>
      <c r="F269">
        <v>2025</v>
      </c>
      <c r="G269">
        <v>1</v>
      </c>
      <c r="H269" t="s">
        <v>255</v>
      </c>
      <c r="I269" t="s">
        <v>256</v>
      </c>
      <c r="J269">
        <v>1</v>
      </c>
    </row>
    <row r="270" spans="1:10" x14ac:dyDescent="0.25">
      <c r="A270" t="s">
        <v>146</v>
      </c>
      <c r="B270" t="s">
        <v>275</v>
      </c>
      <c r="C270" t="s">
        <v>444</v>
      </c>
      <c r="D270" t="s">
        <v>575</v>
      </c>
      <c r="E270" t="s">
        <v>415</v>
      </c>
      <c r="F270">
        <v>2025</v>
      </c>
      <c r="G270">
        <v>1</v>
      </c>
      <c r="H270" t="s">
        <v>257</v>
      </c>
      <c r="I270" t="s">
        <v>258</v>
      </c>
      <c r="J270">
        <v>1</v>
      </c>
    </row>
    <row r="271" spans="1:10" x14ac:dyDescent="0.25">
      <c r="A271" t="s">
        <v>146</v>
      </c>
      <c r="B271" t="s">
        <v>275</v>
      </c>
      <c r="C271" t="s">
        <v>444</v>
      </c>
      <c r="D271" t="s">
        <v>575</v>
      </c>
      <c r="E271" t="s">
        <v>415</v>
      </c>
      <c r="F271">
        <v>2025</v>
      </c>
      <c r="G271">
        <v>1</v>
      </c>
      <c r="H271" t="s">
        <v>259</v>
      </c>
      <c r="I271" t="s">
        <v>260</v>
      </c>
      <c r="J271">
        <v>3</v>
      </c>
    </row>
    <row r="272" spans="1:10" x14ac:dyDescent="0.25">
      <c r="A272" t="s">
        <v>146</v>
      </c>
      <c r="B272" t="s">
        <v>275</v>
      </c>
      <c r="C272" t="s">
        <v>444</v>
      </c>
      <c r="D272" t="s">
        <v>575</v>
      </c>
      <c r="E272" t="s">
        <v>415</v>
      </c>
      <c r="F272">
        <v>2025</v>
      </c>
      <c r="G272">
        <v>1</v>
      </c>
      <c r="H272" t="s">
        <v>15</v>
      </c>
      <c r="I272" t="s">
        <v>16</v>
      </c>
      <c r="J272">
        <v>3</v>
      </c>
    </row>
    <row r="273" spans="1:10" x14ac:dyDescent="0.25">
      <c r="A273" t="s">
        <v>146</v>
      </c>
      <c r="B273" t="s">
        <v>275</v>
      </c>
      <c r="C273" t="s">
        <v>444</v>
      </c>
      <c r="D273" t="s">
        <v>575</v>
      </c>
      <c r="E273" t="s">
        <v>415</v>
      </c>
      <c r="F273">
        <v>2025</v>
      </c>
      <c r="G273">
        <v>1</v>
      </c>
      <c r="H273" t="s">
        <v>12</v>
      </c>
      <c r="I273" t="s">
        <v>13</v>
      </c>
      <c r="J273">
        <v>3</v>
      </c>
    </row>
    <row r="274" spans="1:10" x14ac:dyDescent="0.25">
      <c r="A274" t="s">
        <v>146</v>
      </c>
      <c r="B274" t="s">
        <v>275</v>
      </c>
      <c r="C274" t="s">
        <v>444</v>
      </c>
      <c r="D274" t="s">
        <v>575</v>
      </c>
      <c r="E274" t="s">
        <v>415</v>
      </c>
      <c r="F274">
        <v>2025</v>
      </c>
      <c r="G274">
        <v>1</v>
      </c>
      <c r="H274" t="s">
        <v>3</v>
      </c>
      <c r="I274" t="s">
        <v>4</v>
      </c>
      <c r="J274">
        <v>3</v>
      </c>
    </row>
    <row r="275" spans="1:10" x14ac:dyDescent="0.25">
      <c r="A275" t="s">
        <v>146</v>
      </c>
      <c r="B275" t="s">
        <v>275</v>
      </c>
      <c r="C275" t="s">
        <v>444</v>
      </c>
      <c r="D275" t="s">
        <v>575</v>
      </c>
      <c r="E275" t="s">
        <v>415</v>
      </c>
      <c r="F275">
        <v>2025</v>
      </c>
      <c r="G275">
        <v>1</v>
      </c>
      <c r="H275" t="s">
        <v>19</v>
      </c>
      <c r="I275" t="s">
        <v>20</v>
      </c>
      <c r="J275">
        <v>3</v>
      </c>
    </row>
    <row r="276" spans="1:10" x14ac:dyDescent="0.25">
      <c r="A276" t="s">
        <v>159</v>
      </c>
      <c r="B276" t="s">
        <v>446</v>
      </c>
      <c r="C276" t="s">
        <v>445</v>
      </c>
      <c r="D276" t="s">
        <v>575</v>
      </c>
      <c r="E276" t="s">
        <v>421</v>
      </c>
      <c r="F276">
        <v>2025</v>
      </c>
      <c r="G276">
        <v>1</v>
      </c>
      <c r="H276" t="s">
        <v>253</v>
      </c>
      <c r="I276" t="s">
        <v>254</v>
      </c>
      <c r="J276">
        <v>2</v>
      </c>
    </row>
    <row r="277" spans="1:10" x14ac:dyDescent="0.25">
      <c r="A277" t="s">
        <v>159</v>
      </c>
      <c r="B277" t="s">
        <v>446</v>
      </c>
      <c r="C277" t="s">
        <v>445</v>
      </c>
      <c r="D277" t="s">
        <v>575</v>
      </c>
      <c r="E277" t="s">
        <v>421</v>
      </c>
      <c r="F277">
        <v>2025</v>
      </c>
      <c r="G277">
        <v>1</v>
      </c>
      <c r="H277" t="s">
        <v>255</v>
      </c>
      <c r="I277" t="s">
        <v>256</v>
      </c>
      <c r="J277">
        <v>1</v>
      </c>
    </row>
    <row r="278" spans="1:10" x14ac:dyDescent="0.25">
      <c r="A278" t="s">
        <v>159</v>
      </c>
      <c r="B278" t="s">
        <v>446</v>
      </c>
      <c r="C278" t="s">
        <v>445</v>
      </c>
      <c r="D278" t="s">
        <v>575</v>
      </c>
      <c r="E278" t="s">
        <v>421</v>
      </c>
      <c r="F278">
        <v>2025</v>
      </c>
      <c r="G278">
        <v>1</v>
      </c>
      <c r="H278" t="s">
        <v>257</v>
      </c>
      <c r="I278" t="s">
        <v>258</v>
      </c>
      <c r="J278">
        <v>1</v>
      </c>
    </row>
    <row r="279" spans="1:10" x14ac:dyDescent="0.25">
      <c r="A279" t="s">
        <v>159</v>
      </c>
      <c r="B279" t="s">
        <v>446</v>
      </c>
      <c r="C279" t="s">
        <v>445</v>
      </c>
      <c r="D279" t="s">
        <v>575</v>
      </c>
      <c r="E279" t="s">
        <v>421</v>
      </c>
      <c r="F279">
        <v>2025</v>
      </c>
      <c r="G279">
        <v>1</v>
      </c>
      <c r="H279" t="s">
        <v>259</v>
      </c>
      <c r="I279" t="s">
        <v>260</v>
      </c>
      <c r="J279">
        <v>3</v>
      </c>
    </row>
    <row r="280" spans="1:10" x14ac:dyDescent="0.25">
      <c r="A280" t="s">
        <v>159</v>
      </c>
      <c r="B280" t="s">
        <v>446</v>
      </c>
      <c r="C280" t="s">
        <v>445</v>
      </c>
      <c r="D280" t="s">
        <v>575</v>
      </c>
      <c r="E280" t="s">
        <v>421</v>
      </c>
      <c r="F280">
        <v>2025</v>
      </c>
      <c r="G280">
        <v>1</v>
      </c>
      <c r="H280" t="s">
        <v>160</v>
      </c>
      <c r="I280" t="s">
        <v>161</v>
      </c>
      <c r="J280">
        <v>4</v>
      </c>
    </row>
    <row r="281" spans="1:10" x14ac:dyDescent="0.25">
      <c r="A281" t="s">
        <v>159</v>
      </c>
      <c r="B281" t="s">
        <v>446</v>
      </c>
      <c r="C281" t="s">
        <v>445</v>
      </c>
      <c r="D281" t="s">
        <v>575</v>
      </c>
      <c r="E281" t="s">
        <v>421</v>
      </c>
      <c r="F281">
        <v>2025</v>
      </c>
      <c r="G281">
        <v>1</v>
      </c>
      <c r="H281" t="s">
        <v>162</v>
      </c>
      <c r="I281" t="s">
        <v>163</v>
      </c>
      <c r="J281">
        <v>1</v>
      </c>
    </row>
    <row r="282" spans="1:10" x14ac:dyDescent="0.25">
      <c r="A282" t="s">
        <v>159</v>
      </c>
      <c r="B282" t="s">
        <v>446</v>
      </c>
      <c r="C282" t="s">
        <v>445</v>
      </c>
      <c r="D282" t="s">
        <v>575</v>
      </c>
      <c r="E282" t="s">
        <v>421</v>
      </c>
      <c r="F282">
        <v>2025</v>
      </c>
      <c r="G282">
        <v>1</v>
      </c>
      <c r="H282" t="s">
        <v>10</v>
      </c>
      <c r="I282" t="s">
        <v>11</v>
      </c>
      <c r="J282">
        <v>3</v>
      </c>
    </row>
    <row r="283" spans="1:10" x14ac:dyDescent="0.25">
      <c r="A283" t="s">
        <v>159</v>
      </c>
      <c r="B283" t="s">
        <v>446</v>
      </c>
      <c r="C283" t="s">
        <v>445</v>
      </c>
      <c r="D283" t="s">
        <v>575</v>
      </c>
      <c r="E283" t="s">
        <v>421</v>
      </c>
      <c r="F283">
        <v>2025</v>
      </c>
      <c r="G283">
        <v>1</v>
      </c>
      <c r="H283" t="s">
        <v>21</v>
      </c>
      <c r="I283" t="s">
        <v>22</v>
      </c>
      <c r="J283">
        <v>2</v>
      </c>
    </row>
    <row r="284" spans="1:10" x14ac:dyDescent="0.25">
      <c r="A284" t="s">
        <v>185</v>
      </c>
      <c r="B284" t="s">
        <v>448</v>
      </c>
      <c r="C284" t="s">
        <v>447</v>
      </c>
      <c r="D284" t="s">
        <v>575</v>
      </c>
      <c r="E284" t="s">
        <v>422</v>
      </c>
      <c r="F284">
        <v>2025</v>
      </c>
      <c r="G284">
        <v>1</v>
      </c>
      <c r="H284" t="s">
        <v>253</v>
      </c>
      <c r="I284" t="s">
        <v>254</v>
      </c>
      <c r="J284">
        <v>2</v>
      </c>
    </row>
    <row r="285" spans="1:10" x14ac:dyDescent="0.25">
      <c r="A285" t="s">
        <v>185</v>
      </c>
      <c r="B285" t="s">
        <v>448</v>
      </c>
      <c r="C285" t="s">
        <v>447</v>
      </c>
      <c r="D285" t="s">
        <v>575</v>
      </c>
      <c r="E285" t="s">
        <v>422</v>
      </c>
      <c r="F285">
        <v>2025</v>
      </c>
      <c r="G285">
        <v>1</v>
      </c>
      <c r="H285" t="s">
        <v>255</v>
      </c>
      <c r="I285" t="s">
        <v>256</v>
      </c>
      <c r="J285">
        <v>1</v>
      </c>
    </row>
    <row r="286" spans="1:10" x14ac:dyDescent="0.25">
      <c r="A286" t="s">
        <v>185</v>
      </c>
      <c r="B286" t="s">
        <v>448</v>
      </c>
      <c r="C286" t="s">
        <v>447</v>
      </c>
      <c r="D286" t="s">
        <v>575</v>
      </c>
      <c r="E286" t="s">
        <v>422</v>
      </c>
      <c r="F286">
        <v>2025</v>
      </c>
      <c r="G286">
        <v>1</v>
      </c>
      <c r="H286" t="s">
        <v>257</v>
      </c>
      <c r="I286" t="s">
        <v>258</v>
      </c>
      <c r="J286">
        <v>1</v>
      </c>
    </row>
    <row r="287" spans="1:10" x14ac:dyDescent="0.25">
      <c r="A287" t="s">
        <v>185</v>
      </c>
      <c r="B287" t="s">
        <v>448</v>
      </c>
      <c r="C287" t="s">
        <v>447</v>
      </c>
      <c r="D287" t="s">
        <v>575</v>
      </c>
      <c r="E287" t="s">
        <v>422</v>
      </c>
      <c r="F287">
        <v>2025</v>
      </c>
      <c r="G287">
        <v>1</v>
      </c>
      <c r="H287" t="s">
        <v>259</v>
      </c>
      <c r="I287" t="s">
        <v>260</v>
      </c>
      <c r="J287">
        <v>3</v>
      </c>
    </row>
    <row r="288" spans="1:10" x14ac:dyDescent="0.25">
      <c r="A288" t="s">
        <v>185</v>
      </c>
      <c r="B288" t="s">
        <v>448</v>
      </c>
      <c r="C288" t="s">
        <v>447</v>
      </c>
      <c r="D288" t="s">
        <v>575</v>
      </c>
      <c r="E288" t="s">
        <v>422</v>
      </c>
      <c r="F288">
        <v>2025</v>
      </c>
      <c r="G288">
        <v>1</v>
      </c>
      <c r="H288" t="s">
        <v>73</v>
      </c>
      <c r="I288" t="s">
        <v>74</v>
      </c>
      <c r="J288">
        <v>2</v>
      </c>
    </row>
    <row r="289" spans="1:10" x14ac:dyDescent="0.25">
      <c r="A289" t="s">
        <v>185</v>
      </c>
      <c r="B289" t="s">
        <v>448</v>
      </c>
      <c r="C289" t="s">
        <v>447</v>
      </c>
      <c r="D289" t="s">
        <v>575</v>
      </c>
      <c r="E289" t="s">
        <v>422</v>
      </c>
      <c r="F289">
        <v>2025</v>
      </c>
      <c r="G289">
        <v>1</v>
      </c>
      <c r="H289" t="s">
        <v>71</v>
      </c>
      <c r="I289" t="s">
        <v>72</v>
      </c>
      <c r="J289">
        <v>3</v>
      </c>
    </row>
    <row r="290" spans="1:10" x14ac:dyDescent="0.25">
      <c r="A290" t="s">
        <v>185</v>
      </c>
      <c r="B290" t="s">
        <v>448</v>
      </c>
      <c r="C290" t="s">
        <v>447</v>
      </c>
      <c r="D290" t="s">
        <v>575</v>
      </c>
      <c r="E290" t="s">
        <v>422</v>
      </c>
      <c r="F290">
        <v>2025</v>
      </c>
      <c r="G290">
        <v>1</v>
      </c>
      <c r="H290" t="s">
        <v>10</v>
      </c>
      <c r="I290" t="s">
        <v>11</v>
      </c>
      <c r="J290">
        <v>3</v>
      </c>
    </row>
    <row r="291" spans="1:10" x14ac:dyDescent="0.25">
      <c r="A291" t="s">
        <v>185</v>
      </c>
      <c r="B291" t="s">
        <v>448</v>
      </c>
      <c r="C291" t="s">
        <v>447</v>
      </c>
      <c r="D291" t="s">
        <v>575</v>
      </c>
      <c r="E291" t="s">
        <v>422</v>
      </c>
      <c r="F291">
        <v>2025</v>
      </c>
      <c r="G291">
        <v>1</v>
      </c>
      <c r="H291" t="s">
        <v>3</v>
      </c>
      <c r="I291" t="s">
        <v>4</v>
      </c>
      <c r="J291">
        <v>3</v>
      </c>
    </row>
    <row r="292" spans="1:10" x14ac:dyDescent="0.25">
      <c r="A292" t="s">
        <v>273</v>
      </c>
      <c r="B292" t="s">
        <v>450</v>
      </c>
      <c r="C292" t="s">
        <v>449</v>
      </c>
      <c r="D292" t="s">
        <v>575</v>
      </c>
      <c r="E292" t="s">
        <v>578</v>
      </c>
      <c r="F292">
        <v>2025</v>
      </c>
      <c r="G292">
        <v>1</v>
      </c>
      <c r="H292" t="s">
        <v>253</v>
      </c>
      <c r="I292" t="s">
        <v>254</v>
      </c>
      <c r="J292">
        <v>2</v>
      </c>
    </row>
    <row r="293" spans="1:10" x14ac:dyDescent="0.25">
      <c r="A293" t="s">
        <v>273</v>
      </c>
      <c r="B293" t="s">
        <v>450</v>
      </c>
      <c r="C293" t="s">
        <v>449</v>
      </c>
      <c r="D293" t="s">
        <v>575</v>
      </c>
      <c r="E293" t="s">
        <v>578</v>
      </c>
      <c r="F293">
        <v>2025</v>
      </c>
      <c r="G293">
        <v>1</v>
      </c>
      <c r="H293" t="s">
        <v>255</v>
      </c>
      <c r="I293" t="s">
        <v>256</v>
      </c>
      <c r="J293">
        <v>1</v>
      </c>
    </row>
    <row r="294" spans="1:10" x14ac:dyDescent="0.25">
      <c r="A294" t="s">
        <v>273</v>
      </c>
      <c r="B294" t="s">
        <v>450</v>
      </c>
      <c r="C294" t="s">
        <v>449</v>
      </c>
      <c r="D294" t="s">
        <v>575</v>
      </c>
      <c r="E294" t="s">
        <v>578</v>
      </c>
      <c r="F294">
        <v>2025</v>
      </c>
      <c r="G294">
        <v>1</v>
      </c>
      <c r="H294" t="s">
        <v>257</v>
      </c>
      <c r="I294" t="s">
        <v>258</v>
      </c>
      <c r="J294">
        <v>1</v>
      </c>
    </row>
    <row r="295" spans="1:10" x14ac:dyDescent="0.25">
      <c r="A295" t="s">
        <v>273</v>
      </c>
      <c r="B295" t="s">
        <v>450</v>
      </c>
      <c r="C295" t="s">
        <v>449</v>
      </c>
      <c r="D295" t="s">
        <v>575</v>
      </c>
      <c r="E295" t="s">
        <v>578</v>
      </c>
      <c r="F295">
        <v>2025</v>
      </c>
      <c r="G295">
        <v>1</v>
      </c>
      <c r="H295" t="s">
        <v>259</v>
      </c>
      <c r="I295" t="s">
        <v>260</v>
      </c>
      <c r="J295">
        <v>3</v>
      </c>
    </row>
    <row r="296" spans="1:10" x14ac:dyDescent="0.25">
      <c r="A296" t="s">
        <v>273</v>
      </c>
      <c r="B296" t="s">
        <v>450</v>
      </c>
      <c r="C296" t="s">
        <v>449</v>
      </c>
      <c r="D296" t="s">
        <v>575</v>
      </c>
      <c r="E296" t="s">
        <v>578</v>
      </c>
      <c r="F296">
        <v>2025</v>
      </c>
      <c r="G296">
        <v>1</v>
      </c>
      <c r="H296" t="s">
        <v>6</v>
      </c>
      <c r="I296" t="s">
        <v>7</v>
      </c>
      <c r="J296">
        <v>3</v>
      </c>
    </row>
    <row r="297" spans="1:10" x14ac:dyDescent="0.25">
      <c r="A297" t="s">
        <v>273</v>
      </c>
      <c r="B297" t="s">
        <v>450</v>
      </c>
      <c r="C297" t="s">
        <v>449</v>
      </c>
      <c r="D297" t="s">
        <v>575</v>
      </c>
      <c r="E297" t="s">
        <v>578</v>
      </c>
      <c r="F297">
        <v>2025</v>
      </c>
      <c r="G297">
        <v>1</v>
      </c>
      <c r="H297" t="s">
        <v>261</v>
      </c>
      <c r="I297" t="s">
        <v>262</v>
      </c>
      <c r="J297">
        <v>3</v>
      </c>
    </row>
    <row r="298" spans="1:10" x14ac:dyDescent="0.25">
      <c r="A298" t="s">
        <v>273</v>
      </c>
      <c r="B298" t="s">
        <v>450</v>
      </c>
      <c r="C298" t="s">
        <v>449</v>
      </c>
      <c r="D298" t="s">
        <v>575</v>
      </c>
      <c r="E298" t="s">
        <v>578</v>
      </c>
      <c r="F298">
        <v>2025</v>
      </c>
      <c r="G298">
        <v>1</v>
      </c>
      <c r="H298" t="s">
        <v>10</v>
      </c>
      <c r="I298" t="s">
        <v>11</v>
      </c>
      <c r="J298">
        <v>3</v>
      </c>
    </row>
    <row r="299" spans="1:10" x14ac:dyDescent="0.25">
      <c r="A299" t="s">
        <v>273</v>
      </c>
      <c r="B299" t="s">
        <v>450</v>
      </c>
      <c r="C299" t="s">
        <v>449</v>
      </c>
      <c r="D299" t="s">
        <v>575</v>
      </c>
      <c r="E299" t="s">
        <v>578</v>
      </c>
      <c r="F299">
        <v>2025</v>
      </c>
      <c r="G299">
        <v>1</v>
      </c>
      <c r="H299" t="s">
        <v>32</v>
      </c>
      <c r="I299" t="s">
        <v>33</v>
      </c>
      <c r="J299">
        <v>2</v>
      </c>
    </row>
    <row r="300" spans="1:10" x14ac:dyDescent="0.25">
      <c r="A300" t="s">
        <v>186</v>
      </c>
      <c r="B300" t="s">
        <v>452</v>
      </c>
      <c r="C300" t="s">
        <v>451</v>
      </c>
      <c r="D300" t="s">
        <v>575</v>
      </c>
      <c r="E300" t="s">
        <v>423</v>
      </c>
      <c r="F300">
        <v>2025</v>
      </c>
      <c r="G300">
        <v>1</v>
      </c>
      <c r="H300" t="s">
        <v>253</v>
      </c>
      <c r="I300" t="s">
        <v>254</v>
      </c>
      <c r="J300">
        <v>2</v>
      </c>
    </row>
    <row r="301" spans="1:10" x14ac:dyDescent="0.25">
      <c r="A301" t="s">
        <v>186</v>
      </c>
      <c r="B301" t="s">
        <v>452</v>
      </c>
      <c r="C301" t="s">
        <v>451</v>
      </c>
      <c r="D301" t="s">
        <v>575</v>
      </c>
      <c r="E301" t="s">
        <v>423</v>
      </c>
      <c r="F301">
        <v>2025</v>
      </c>
      <c r="G301">
        <v>1</v>
      </c>
      <c r="H301" t="s">
        <v>255</v>
      </c>
      <c r="I301" t="s">
        <v>256</v>
      </c>
      <c r="J301">
        <v>1</v>
      </c>
    </row>
    <row r="302" spans="1:10" x14ac:dyDescent="0.25">
      <c r="A302" t="s">
        <v>186</v>
      </c>
      <c r="B302" t="s">
        <v>452</v>
      </c>
      <c r="C302" t="s">
        <v>451</v>
      </c>
      <c r="D302" t="s">
        <v>575</v>
      </c>
      <c r="E302" t="s">
        <v>423</v>
      </c>
      <c r="F302">
        <v>2025</v>
      </c>
      <c r="G302">
        <v>1</v>
      </c>
      <c r="H302" t="s">
        <v>257</v>
      </c>
      <c r="I302" t="s">
        <v>258</v>
      </c>
      <c r="J302">
        <v>1</v>
      </c>
    </row>
    <row r="303" spans="1:10" x14ac:dyDescent="0.25">
      <c r="A303" t="s">
        <v>186</v>
      </c>
      <c r="B303" t="s">
        <v>452</v>
      </c>
      <c r="C303" t="s">
        <v>451</v>
      </c>
      <c r="D303" t="s">
        <v>575</v>
      </c>
      <c r="E303" t="s">
        <v>423</v>
      </c>
      <c r="F303">
        <v>2025</v>
      </c>
      <c r="G303">
        <v>1</v>
      </c>
      <c r="H303" t="s">
        <v>259</v>
      </c>
      <c r="I303" t="s">
        <v>260</v>
      </c>
      <c r="J303">
        <v>3</v>
      </c>
    </row>
    <row r="304" spans="1:10" x14ac:dyDescent="0.25">
      <c r="A304" t="s">
        <v>186</v>
      </c>
      <c r="B304" t="s">
        <v>452</v>
      </c>
      <c r="C304" t="s">
        <v>451</v>
      </c>
      <c r="D304" t="s">
        <v>575</v>
      </c>
      <c r="E304" t="s">
        <v>423</v>
      </c>
      <c r="F304">
        <v>2025</v>
      </c>
      <c r="G304">
        <v>1</v>
      </c>
      <c r="H304" t="s">
        <v>15</v>
      </c>
      <c r="I304" t="s">
        <v>16</v>
      </c>
      <c r="J304">
        <v>3</v>
      </c>
    </row>
    <row r="305" spans="1:10" x14ac:dyDescent="0.25">
      <c r="A305" t="s">
        <v>186</v>
      </c>
      <c r="B305" t="s">
        <v>452</v>
      </c>
      <c r="C305" t="s">
        <v>451</v>
      </c>
      <c r="D305" t="s">
        <v>575</v>
      </c>
      <c r="E305" t="s">
        <v>423</v>
      </c>
      <c r="F305">
        <v>2025</v>
      </c>
      <c r="G305">
        <v>1</v>
      </c>
      <c r="H305" t="s">
        <v>6</v>
      </c>
      <c r="I305" t="s">
        <v>7</v>
      </c>
      <c r="J305">
        <v>3</v>
      </c>
    </row>
    <row r="306" spans="1:10" x14ac:dyDescent="0.25">
      <c r="A306" t="s">
        <v>186</v>
      </c>
      <c r="B306" t="s">
        <v>452</v>
      </c>
      <c r="C306" t="s">
        <v>451</v>
      </c>
      <c r="D306" t="s">
        <v>575</v>
      </c>
      <c r="E306" t="s">
        <v>423</v>
      </c>
      <c r="F306">
        <v>2025</v>
      </c>
      <c r="G306">
        <v>1</v>
      </c>
      <c r="H306" t="s">
        <v>71</v>
      </c>
      <c r="I306" t="s">
        <v>72</v>
      </c>
      <c r="J306">
        <v>3</v>
      </c>
    </row>
    <row r="307" spans="1:10" x14ac:dyDescent="0.25">
      <c r="A307" t="s">
        <v>186</v>
      </c>
      <c r="B307" t="s">
        <v>452</v>
      </c>
      <c r="C307" t="s">
        <v>451</v>
      </c>
      <c r="D307" t="s">
        <v>575</v>
      </c>
      <c r="E307" t="s">
        <v>423</v>
      </c>
      <c r="F307">
        <v>2025</v>
      </c>
      <c r="G307">
        <v>1</v>
      </c>
      <c r="H307" t="s">
        <v>261</v>
      </c>
      <c r="I307" t="s">
        <v>262</v>
      </c>
      <c r="J307">
        <v>3</v>
      </c>
    </row>
    <row r="308" spans="1:10" x14ac:dyDescent="0.25">
      <c r="A308" t="s">
        <v>198</v>
      </c>
      <c r="B308" t="s">
        <v>454</v>
      </c>
      <c r="C308" t="s">
        <v>453</v>
      </c>
      <c r="D308" t="s">
        <v>575</v>
      </c>
      <c r="E308" t="s">
        <v>424</v>
      </c>
      <c r="F308">
        <v>2025</v>
      </c>
      <c r="G308">
        <v>1</v>
      </c>
      <c r="H308" t="s">
        <v>253</v>
      </c>
      <c r="I308" t="s">
        <v>254</v>
      </c>
      <c r="J308">
        <v>2</v>
      </c>
    </row>
    <row r="309" spans="1:10" x14ac:dyDescent="0.25">
      <c r="A309" t="s">
        <v>198</v>
      </c>
      <c r="B309" t="s">
        <v>454</v>
      </c>
      <c r="C309" t="s">
        <v>453</v>
      </c>
      <c r="D309" t="s">
        <v>575</v>
      </c>
      <c r="E309" t="s">
        <v>424</v>
      </c>
      <c r="F309">
        <v>2025</v>
      </c>
      <c r="G309">
        <v>1</v>
      </c>
      <c r="H309" t="s">
        <v>255</v>
      </c>
      <c r="I309" t="s">
        <v>256</v>
      </c>
      <c r="J309">
        <v>1</v>
      </c>
    </row>
    <row r="310" spans="1:10" x14ac:dyDescent="0.25">
      <c r="A310" t="s">
        <v>198</v>
      </c>
      <c r="B310" t="s">
        <v>454</v>
      </c>
      <c r="C310" t="s">
        <v>453</v>
      </c>
      <c r="D310" t="s">
        <v>575</v>
      </c>
      <c r="E310" t="s">
        <v>424</v>
      </c>
      <c r="F310">
        <v>2025</v>
      </c>
      <c r="G310">
        <v>1</v>
      </c>
      <c r="H310" t="s">
        <v>257</v>
      </c>
      <c r="I310" t="s">
        <v>258</v>
      </c>
      <c r="J310">
        <v>1</v>
      </c>
    </row>
    <row r="311" spans="1:10" x14ac:dyDescent="0.25">
      <c r="A311" t="s">
        <v>198</v>
      </c>
      <c r="B311" t="s">
        <v>454</v>
      </c>
      <c r="C311" t="s">
        <v>453</v>
      </c>
      <c r="D311" t="s">
        <v>575</v>
      </c>
      <c r="E311" t="s">
        <v>424</v>
      </c>
      <c r="F311">
        <v>2025</v>
      </c>
      <c r="G311">
        <v>1</v>
      </c>
      <c r="H311" t="s">
        <v>259</v>
      </c>
      <c r="I311" t="s">
        <v>260</v>
      </c>
      <c r="J311">
        <v>3</v>
      </c>
    </row>
    <row r="312" spans="1:10" x14ac:dyDescent="0.25">
      <c r="A312" t="s">
        <v>198</v>
      </c>
      <c r="B312" t="s">
        <v>454</v>
      </c>
      <c r="C312" t="s">
        <v>453</v>
      </c>
      <c r="D312" t="s">
        <v>575</v>
      </c>
      <c r="E312" t="s">
        <v>424</v>
      </c>
      <c r="F312">
        <v>2025</v>
      </c>
      <c r="G312">
        <v>1</v>
      </c>
      <c r="H312" t="s">
        <v>15</v>
      </c>
      <c r="I312" t="s">
        <v>16</v>
      </c>
      <c r="J312">
        <v>3</v>
      </c>
    </row>
    <row r="313" spans="1:10" x14ac:dyDescent="0.25">
      <c r="A313" t="s">
        <v>198</v>
      </c>
      <c r="B313" t="s">
        <v>454</v>
      </c>
      <c r="C313" t="s">
        <v>453</v>
      </c>
      <c r="D313" t="s">
        <v>575</v>
      </c>
      <c r="E313" t="s">
        <v>424</v>
      </c>
      <c r="F313">
        <v>2025</v>
      </c>
      <c r="G313">
        <v>1</v>
      </c>
      <c r="H313" t="s">
        <v>6</v>
      </c>
      <c r="I313" t="s">
        <v>7</v>
      </c>
      <c r="J313">
        <v>3</v>
      </c>
    </row>
    <row r="314" spans="1:10" x14ac:dyDescent="0.25">
      <c r="A314" t="s">
        <v>198</v>
      </c>
      <c r="B314" t="s">
        <v>454</v>
      </c>
      <c r="C314" t="s">
        <v>453</v>
      </c>
      <c r="D314" t="s">
        <v>575</v>
      </c>
      <c r="E314" t="s">
        <v>424</v>
      </c>
      <c r="F314">
        <v>2025</v>
      </c>
      <c r="G314">
        <v>1</v>
      </c>
      <c r="H314" t="s">
        <v>71</v>
      </c>
      <c r="I314" t="s">
        <v>72</v>
      </c>
      <c r="J314">
        <v>3</v>
      </c>
    </row>
    <row r="315" spans="1:10" x14ac:dyDescent="0.25">
      <c r="A315" t="s">
        <v>198</v>
      </c>
      <c r="B315" t="s">
        <v>454</v>
      </c>
      <c r="C315" t="s">
        <v>453</v>
      </c>
      <c r="D315" t="s">
        <v>575</v>
      </c>
      <c r="E315" t="s">
        <v>424</v>
      </c>
      <c r="F315">
        <v>2025</v>
      </c>
      <c r="G315">
        <v>1</v>
      </c>
      <c r="H315" t="s">
        <v>261</v>
      </c>
      <c r="I315" t="s">
        <v>262</v>
      </c>
      <c r="J315">
        <v>3</v>
      </c>
    </row>
    <row r="316" spans="1:10" x14ac:dyDescent="0.25">
      <c r="A316" t="s">
        <v>202</v>
      </c>
      <c r="B316" t="s">
        <v>456</v>
      </c>
      <c r="C316" t="s">
        <v>455</v>
      </c>
      <c r="D316" t="s">
        <v>575</v>
      </c>
      <c r="E316" t="s">
        <v>425</v>
      </c>
      <c r="F316">
        <v>2025</v>
      </c>
      <c r="G316">
        <v>1</v>
      </c>
      <c r="H316" t="s">
        <v>253</v>
      </c>
      <c r="I316" t="s">
        <v>254</v>
      </c>
      <c r="J316">
        <v>2</v>
      </c>
    </row>
    <row r="317" spans="1:10" x14ac:dyDescent="0.25">
      <c r="A317" t="s">
        <v>202</v>
      </c>
      <c r="B317" t="s">
        <v>456</v>
      </c>
      <c r="C317" t="s">
        <v>455</v>
      </c>
      <c r="D317" t="s">
        <v>575</v>
      </c>
      <c r="E317" t="s">
        <v>425</v>
      </c>
      <c r="F317">
        <v>2025</v>
      </c>
      <c r="G317">
        <v>1</v>
      </c>
      <c r="H317" t="s">
        <v>255</v>
      </c>
      <c r="I317" t="s">
        <v>256</v>
      </c>
      <c r="J317">
        <v>1</v>
      </c>
    </row>
    <row r="318" spans="1:10" x14ac:dyDescent="0.25">
      <c r="A318" t="s">
        <v>202</v>
      </c>
      <c r="B318" t="s">
        <v>456</v>
      </c>
      <c r="C318" t="s">
        <v>455</v>
      </c>
      <c r="D318" t="s">
        <v>575</v>
      </c>
      <c r="E318" t="s">
        <v>425</v>
      </c>
      <c r="F318">
        <v>2025</v>
      </c>
      <c r="G318">
        <v>1</v>
      </c>
      <c r="H318" t="s">
        <v>257</v>
      </c>
      <c r="I318" t="s">
        <v>258</v>
      </c>
      <c r="J318">
        <v>1</v>
      </c>
    </row>
    <row r="319" spans="1:10" x14ac:dyDescent="0.25">
      <c r="A319" t="s">
        <v>202</v>
      </c>
      <c r="B319" t="s">
        <v>456</v>
      </c>
      <c r="C319" t="s">
        <v>455</v>
      </c>
      <c r="D319" t="s">
        <v>575</v>
      </c>
      <c r="E319" t="s">
        <v>425</v>
      </c>
      <c r="F319">
        <v>2025</v>
      </c>
      <c r="G319">
        <v>1</v>
      </c>
      <c r="H319" t="s">
        <v>259</v>
      </c>
      <c r="I319" t="s">
        <v>260</v>
      </c>
      <c r="J319">
        <v>3</v>
      </c>
    </row>
    <row r="320" spans="1:10" x14ac:dyDescent="0.25">
      <c r="A320" t="s">
        <v>202</v>
      </c>
      <c r="B320" t="s">
        <v>456</v>
      </c>
      <c r="C320" t="s">
        <v>455</v>
      </c>
      <c r="D320" t="s">
        <v>575</v>
      </c>
      <c r="E320" t="s">
        <v>425</v>
      </c>
      <c r="F320">
        <v>2025</v>
      </c>
      <c r="G320">
        <v>1</v>
      </c>
      <c r="H320" t="s">
        <v>204</v>
      </c>
      <c r="I320" t="s">
        <v>205</v>
      </c>
      <c r="J320">
        <v>3</v>
      </c>
    </row>
    <row r="321" spans="1:10" x14ac:dyDescent="0.25">
      <c r="A321" t="s">
        <v>202</v>
      </c>
      <c r="B321" t="s">
        <v>456</v>
      </c>
      <c r="C321" t="s">
        <v>455</v>
      </c>
      <c r="D321" t="s">
        <v>575</v>
      </c>
      <c r="E321" t="s">
        <v>425</v>
      </c>
      <c r="F321">
        <v>2025</v>
      </c>
      <c r="G321">
        <v>1</v>
      </c>
      <c r="H321" t="s">
        <v>71</v>
      </c>
      <c r="I321" t="s">
        <v>72</v>
      </c>
      <c r="J321">
        <v>3</v>
      </c>
    </row>
    <row r="322" spans="1:10" x14ac:dyDescent="0.25">
      <c r="A322" t="s">
        <v>202</v>
      </c>
      <c r="B322" t="s">
        <v>456</v>
      </c>
      <c r="C322" t="s">
        <v>455</v>
      </c>
      <c r="D322" t="s">
        <v>575</v>
      </c>
      <c r="E322" t="s">
        <v>425</v>
      </c>
      <c r="F322">
        <v>2025</v>
      </c>
      <c r="G322">
        <v>1</v>
      </c>
      <c r="H322" t="s">
        <v>203</v>
      </c>
      <c r="I322" t="s">
        <v>98</v>
      </c>
      <c r="J322">
        <v>3</v>
      </c>
    </row>
    <row r="323" spans="1:10" x14ac:dyDescent="0.25">
      <c r="A323" t="s">
        <v>202</v>
      </c>
      <c r="B323" t="s">
        <v>456</v>
      </c>
      <c r="C323" t="s">
        <v>455</v>
      </c>
      <c r="D323" t="s">
        <v>575</v>
      </c>
      <c r="E323" t="s">
        <v>425</v>
      </c>
      <c r="F323">
        <v>2025</v>
      </c>
      <c r="G323">
        <v>1</v>
      </c>
      <c r="H323" t="s">
        <v>19</v>
      </c>
      <c r="I323" t="s">
        <v>20</v>
      </c>
      <c r="J323">
        <v>3</v>
      </c>
    </row>
    <row r="324" spans="1:10" x14ac:dyDescent="0.25">
      <c r="A324" t="s">
        <v>228</v>
      </c>
      <c r="B324" t="s">
        <v>458</v>
      </c>
      <c r="C324" t="s">
        <v>457</v>
      </c>
      <c r="D324" t="s">
        <v>575</v>
      </c>
      <c r="E324" t="s">
        <v>426</v>
      </c>
      <c r="F324">
        <v>2025</v>
      </c>
      <c r="G324">
        <v>1</v>
      </c>
      <c r="H324" t="s">
        <v>253</v>
      </c>
      <c r="I324" t="s">
        <v>254</v>
      </c>
      <c r="J324">
        <v>2</v>
      </c>
    </row>
    <row r="325" spans="1:10" x14ac:dyDescent="0.25">
      <c r="A325" t="s">
        <v>228</v>
      </c>
      <c r="B325" t="s">
        <v>458</v>
      </c>
      <c r="C325" t="s">
        <v>457</v>
      </c>
      <c r="D325" t="s">
        <v>575</v>
      </c>
      <c r="E325" t="s">
        <v>426</v>
      </c>
      <c r="F325">
        <v>2025</v>
      </c>
      <c r="G325">
        <v>1</v>
      </c>
      <c r="H325" t="s">
        <v>255</v>
      </c>
      <c r="I325" t="s">
        <v>256</v>
      </c>
      <c r="J325">
        <v>1</v>
      </c>
    </row>
    <row r="326" spans="1:10" x14ac:dyDescent="0.25">
      <c r="A326" t="s">
        <v>228</v>
      </c>
      <c r="B326" t="s">
        <v>458</v>
      </c>
      <c r="C326" t="s">
        <v>457</v>
      </c>
      <c r="D326" t="s">
        <v>575</v>
      </c>
      <c r="E326" t="s">
        <v>426</v>
      </c>
      <c r="F326">
        <v>2025</v>
      </c>
      <c r="G326">
        <v>1</v>
      </c>
      <c r="H326" t="s">
        <v>257</v>
      </c>
      <c r="I326" t="s">
        <v>258</v>
      </c>
      <c r="J326">
        <v>1</v>
      </c>
    </row>
    <row r="327" spans="1:10" x14ac:dyDescent="0.25">
      <c r="A327" t="s">
        <v>228</v>
      </c>
      <c r="B327" t="s">
        <v>458</v>
      </c>
      <c r="C327" t="s">
        <v>457</v>
      </c>
      <c r="D327" t="s">
        <v>575</v>
      </c>
      <c r="E327" t="s">
        <v>426</v>
      </c>
      <c r="F327">
        <v>2025</v>
      </c>
      <c r="G327">
        <v>1</v>
      </c>
      <c r="H327" t="s">
        <v>259</v>
      </c>
      <c r="I327" t="s">
        <v>260</v>
      </c>
      <c r="J327">
        <v>3</v>
      </c>
    </row>
    <row r="328" spans="1:10" x14ac:dyDescent="0.25">
      <c r="A328" t="s">
        <v>228</v>
      </c>
      <c r="B328" t="s">
        <v>458</v>
      </c>
      <c r="C328" t="s">
        <v>457</v>
      </c>
      <c r="D328" t="s">
        <v>575</v>
      </c>
      <c r="E328" t="s">
        <v>426</v>
      </c>
      <c r="F328">
        <v>2025</v>
      </c>
      <c r="G328">
        <v>1</v>
      </c>
      <c r="H328" t="s">
        <v>15</v>
      </c>
      <c r="I328" t="s">
        <v>16</v>
      </c>
      <c r="J328">
        <v>3</v>
      </c>
    </row>
    <row r="329" spans="1:10" x14ac:dyDescent="0.25">
      <c r="A329" t="s">
        <v>228</v>
      </c>
      <c r="B329" t="s">
        <v>458</v>
      </c>
      <c r="C329" t="s">
        <v>457</v>
      </c>
      <c r="D329" t="s">
        <v>575</v>
      </c>
      <c r="E329" t="s">
        <v>426</v>
      </c>
      <c r="F329">
        <v>2025</v>
      </c>
      <c r="G329">
        <v>1</v>
      </c>
      <c r="H329" t="s">
        <v>71</v>
      </c>
      <c r="I329" t="s">
        <v>72</v>
      </c>
      <c r="J329">
        <v>3</v>
      </c>
    </row>
    <row r="330" spans="1:10" x14ac:dyDescent="0.25">
      <c r="A330" t="s">
        <v>228</v>
      </c>
      <c r="B330" t="s">
        <v>458</v>
      </c>
      <c r="C330" t="s">
        <v>457</v>
      </c>
      <c r="D330" t="s">
        <v>575</v>
      </c>
      <c r="E330" t="s">
        <v>426</v>
      </c>
      <c r="F330">
        <v>2025</v>
      </c>
      <c r="G330">
        <v>1</v>
      </c>
      <c r="H330" t="s">
        <v>10</v>
      </c>
      <c r="I330" t="s">
        <v>11</v>
      </c>
      <c r="J330">
        <v>3</v>
      </c>
    </row>
    <row r="331" spans="1:10" x14ac:dyDescent="0.25">
      <c r="A331" t="s">
        <v>228</v>
      </c>
      <c r="B331" t="s">
        <v>458</v>
      </c>
      <c r="C331" t="s">
        <v>457</v>
      </c>
      <c r="D331" t="s">
        <v>575</v>
      </c>
      <c r="E331" t="s">
        <v>426</v>
      </c>
      <c r="F331">
        <v>2025</v>
      </c>
      <c r="G331">
        <v>1</v>
      </c>
      <c r="H331" t="s">
        <v>229</v>
      </c>
      <c r="I331" t="s">
        <v>230</v>
      </c>
      <c r="J331">
        <v>3</v>
      </c>
    </row>
    <row r="332" spans="1:10" x14ac:dyDescent="0.25">
      <c r="A332" t="s">
        <v>243</v>
      </c>
      <c r="B332" t="s">
        <v>460</v>
      </c>
      <c r="C332" t="s">
        <v>459</v>
      </c>
      <c r="D332" t="s">
        <v>575</v>
      </c>
      <c r="E332" t="s">
        <v>427</v>
      </c>
      <c r="F332">
        <v>2025</v>
      </c>
      <c r="G332">
        <v>1</v>
      </c>
      <c r="H332" t="s">
        <v>253</v>
      </c>
      <c r="I332" t="s">
        <v>254</v>
      </c>
      <c r="J332">
        <v>2</v>
      </c>
    </row>
    <row r="333" spans="1:10" x14ac:dyDescent="0.25">
      <c r="A333" t="s">
        <v>243</v>
      </c>
      <c r="B333" t="s">
        <v>460</v>
      </c>
      <c r="C333" t="s">
        <v>459</v>
      </c>
      <c r="D333" t="s">
        <v>575</v>
      </c>
      <c r="E333" t="s">
        <v>427</v>
      </c>
      <c r="F333">
        <v>2025</v>
      </c>
      <c r="G333">
        <v>1</v>
      </c>
      <c r="H333" t="s">
        <v>255</v>
      </c>
      <c r="I333" t="s">
        <v>256</v>
      </c>
      <c r="J333">
        <v>1</v>
      </c>
    </row>
    <row r="334" spans="1:10" x14ac:dyDescent="0.25">
      <c r="A334" t="s">
        <v>243</v>
      </c>
      <c r="B334" t="s">
        <v>460</v>
      </c>
      <c r="C334" t="s">
        <v>459</v>
      </c>
      <c r="D334" t="s">
        <v>575</v>
      </c>
      <c r="E334" t="s">
        <v>427</v>
      </c>
      <c r="F334">
        <v>2025</v>
      </c>
      <c r="G334">
        <v>1</v>
      </c>
      <c r="H334" t="s">
        <v>257</v>
      </c>
      <c r="I334" t="s">
        <v>258</v>
      </c>
      <c r="J334">
        <v>1</v>
      </c>
    </row>
    <row r="335" spans="1:10" x14ac:dyDescent="0.25">
      <c r="A335" t="s">
        <v>243</v>
      </c>
      <c r="B335" t="s">
        <v>460</v>
      </c>
      <c r="C335" t="s">
        <v>459</v>
      </c>
      <c r="D335" t="s">
        <v>575</v>
      </c>
      <c r="E335" t="s">
        <v>427</v>
      </c>
      <c r="F335">
        <v>2025</v>
      </c>
      <c r="G335">
        <v>1</v>
      </c>
      <c r="H335" t="s">
        <v>259</v>
      </c>
      <c r="I335" t="s">
        <v>260</v>
      </c>
      <c r="J335">
        <v>3</v>
      </c>
    </row>
    <row r="336" spans="1:10" x14ac:dyDescent="0.25">
      <c r="A336" t="s">
        <v>243</v>
      </c>
      <c r="B336" t="s">
        <v>460</v>
      </c>
      <c r="C336" t="s">
        <v>459</v>
      </c>
      <c r="D336" t="s">
        <v>575</v>
      </c>
      <c r="E336" t="s">
        <v>427</v>
      </c>
      <c r="F336">
        <v>2025</v>
      </c>
      <c r="G336">
        <v>1</v>
      </c>
      <c r="H336" t="s">
        <v>10</v>
      </c>
      <c r="I336" t="s">
        <v>11</v>
      </c>
      <c r="J336">
        <v>3</v>
      </c>
    </row>
    <row r="337" spans="1:10" x14ac:dyDescent="0.25">
      <c r="A337" t="s">
        <v>243</v>
      </c>
      <c r="B337" t="s">
        <v>460</v>
      </c>
      <c r="C337" t="s">
        <v>459</v>
      </c>
      <c r="D337" t="s">
        <v>575</v>
      </c>
      <c r="E337" t="s">
        <v>427</v>
      </c>
      <c r="F337">
        <v>2025</v>
      </c>
      <c r="G337">
        <v>1</v>
      </c>
      <c r="H337" t="s">
        <v>15</v>
      </c>
      <c r="I337" t="s">
        <v>16</v>
      </c>
      <c r="J337">
        <v>3</v>
      </c>
    </row>
    <row r="338" spans="1:10" x14ac:dyDescent="0.25">
      <c r="A338" t="s">
        <v>243</v>
      </c>
      <c r="B338" t="s">
        <v>460</v>
      </c>
      <c r="C338" t="s">
        <v>459</v>
      </c>
      <c r="D338" t="s">
        <v>575</v>
      </c>
      <c r="E338" t="s">
        <v>427</v>
      </c>
      <c r="F338">
        <v>2025</v>
      </c>
      <c r="G338">
        <v>1</v>
      </c>
      <c r="H338" t="s">
        <v>71</v>
      </c>
      <c r="I338" t="s">
        <v>72</v>
      </c>
      <c r="J338">
        <v>3</v>
      </c>
    </row>
    <row r="339" spans="1:10" x14ac:dyDescent="0.25">
      <c r="A339" t="s">
        <v>243</v>
      </c>
      <c r="B339" t="s">
        <v>460</v>
      </c>
      <c r="C339" t="s">
        <v>459</v>
      </c>
      <c r="D339" t="s">
        <v>575</v>
      </c>
      <c r="E339" t="s">
        <v>427</v>
      </c>
      <c r="F339">
        <v>2025</v>
      </c>
      <c r="G339">
        <v>1</v>
      </c>
      <c r="H339" t="s">
        <v>261</v>
      </c>
      <c r="I339" t="s">
        <v>262</v>
      </c>
      <c r="J339">
        <v>3</v>
      </c>
    </row>
    <row r="340" spans="1:10" x14ac:dyDescent="0.25">
      <c r="A340" t="s">
        <v>252</v>
      </c>
      <c r="B340" t="s">
        <v>462</v>
      </c>
      <c r="C340" t="s">
        <v>461</v>
      </c>
      <c r="D340" t="s">
        <v>575</v>
      </c>
      <c r="E340" t="s">
        <v>428</v>
      </c>
      <c r="F340">
        <v>2025</v>
      </c>
      <c r="G340">
        <v>1</v>
      </c>
      <c r="H340" t="s">
        <v>253</v>
      </c>
      <c r="I340" t="s">
        <v>254</v>
      </c>
      <c r="J340">
        <v>2</v>
      </c>
    </row>
    <row r="341" spans="1:10" x14ac:dyDescent="0.25">
      <c r="A341" t="s">
        <v>252</v>
      </c>
      <c r="B341" t="s">
        <v>462</v>
      </c>
      <c r="C341" t="s">
        <v>461</v>
      </c>
      <c r="D341" t="s">
        <v>575</v>
      </c>
      <c r="E341" t="s">
        <v>428</v>
      </c>
      <c r="F341">
        <v>2025</v>
      </c>
      <c r="G341">
        <v>1</v>
      </c>
      <c r="H341" t="s">
        <v>255</v>
      </c>
      <c r="I341" t="s">
        <v>256</v>
      </c>
      <c r="J341">
        <v>1</v>
      </c>
    </row>
    <row r="342" spans="1:10" x14ac:dyDescent="0.25">
      <c r="A342" t="s">
        <v>252</v>
      </c>
      <c r="B342" t="s">
        <v>462</v>
      </c>
      <c r="C342" t="s">
        <v>461</v>
      </c>
      <c r="D342" t="s">
        <v>575</v>
      </c>
      <c r="E342" t="s">
        <v>428</v>
      </c>
      <c r="F342">
        <v>2025</v>
      </c>
      <c r="G342">
        <v>1</v>
      </c>
      <c r="H342" t="s">
        <v>257</v>
      </c>
      <c r="I342" t="s">
        <v>258</v>
      </c>
      <c r="J342">
        <v>1</v>
      </c>
    </row>
    <row r="343" spans="1:10" x14ac:dyDescent="0.25">
      <c r="A343" t="s">
        <v>252</v>
      </c>
      <c r="B343" t="s">
        <v>462</v>
      </c>
      <c r="C343" t="s">
        <v>461</v>
      </c>
      <c r="D343" t="s">
        <v>575</v>
      </c>
      <c r="E343" t="s">
        <v>428</v>
      </c>
      <c r="F343">
        <v>2025</v>
      </c>
      <c r="G343">
        <v>1</v>
      </c>
      <c r="H343" t="s">
        <v>259</v>
      </c>
      <c r="I343" t="s">
        <v>260</v>
      </c>
      <c r="J343">
        <v>3</v>
      </c>
    </row>
    <row r="344" spans="1:10" x14ac:dyDescent="0.25">
      <c r="A344" t="s">
        <v>252</v>
      </c>
      <c r="B344" t="s">
        <v>462</v>
      </c>
      <c r="C344" t="s">
        <v>461</v>
      </c>
      <c r="D344" t="s">
        <v>575</v>
      </c>
      <c r="E344" t="s">
        <v>428</v>
      </c>
      <c r="F344">
        <v>2025</v>
      </c>
      <c r="G344">
        <v>1</v>
      </c>
      <c r="H344" t="s">
        <v>261</v>
      </c>
      <c r="I344" t="s">
        <v>262</v>
      </c>
      <c r="J344">
        <v>3</v>
      </c>
    </row>
    <row r="345" spans="1:10" x14ac:dyDescent="0.25">
      <c r="A345" t="s">
        <v>252</v>
      </c>
      <c r="B345" t="s">
        <v>462</v>
      </c>
      <c r="C345" t="s">
        <v>461</v>
      </c>
      <c r="D345" t="s">
        <v>575</v>
      </c>
      <c r="E345" t="s">
        <v>428</v>
      </c>
      <c r="F345">
        <v>2025</v>
      </c>
      <c r="G345">
        <v>1</v>
      </c>
      <c r="H345" t="s">
        <v>10</v>
      </c>
      <c r="I345" t="s">
        <v>11</v>
      </c>
      <c r="J345">
        <v>3</v>
      </c>
    </row>
    <row r="346" spans="1:10" x14ac:dyDescent="0.25">
      <c r="A346" t="s">
        <v>252</v>
      </c>
      <c r="B346" t="s">
        <v>462</v>
      </c>
      <c r="C346" t="s">
        <v>461</v>
      </c>
      <c r="D346" t="s">
        <v>575</v>
      </c>
      <c r="E346" t="s">
        <v>428</v>
      </c>
      <c r="F346">
        <v>2025</v>
      </c>
      <c r="G346">
        <v>1</v>
      </c>
      <c r="H346" t="s">
        <v>12</v>
      </c>
      <c r="I346" t="s">
        <v>13</v>
      </c>
      <c r="J346">
        <v>3</v>
      </c>
    </row>
    <row r="347" spans="1:10" x14ac:dyDescent="0.25">
      <c r="A347" t="s">
        <v>252</v>
      </c>
      <c r="B347" t="s">
        <v>462</v>
      </c>
      <c r="C347" t="s">
        <v>461</v>
      </c>
      <c r="D347" t="s">
        <v>575</v>
      </c>
      <c r="E347" t="s">
        <v>428</v>
      </c>
      <c r="F347">
        <v>2025</v>
      </c>
      <c r="G347">
        <v>1</v>
      </c>
      <c r="H347" t="s">
        <v>3</v>
      </c>
      <c r="I347" t="s">
        <v>4</v>
      </c>
      <c r="J347">
        <v>3</v>
      </c>
    </row>
    <row r="348" spans="1:10" x14ac:dyDescent="0.25">
      <c r="A348" t="s">
        <v>429</v>
      </c>
      <c r="B348" t="s">
        <v>491</v>
      </c>
      <c r="C348" t="s">
        <v>492</v>
      </c>
      <c r="D348" t="s">
        <v>579</v>
      </c>
      <c r="E348" t="s">
        <v>580</v>
      </c>
      <c r="F348">
        <v>2025</v>
      </c>
      <c r="G348">
        <v>1</v>
      </c>
      <c r="H348" t="s">
        <v>313</v>
      </c>
      <c r="I348" t="s">
        <v>312</v>
      </c>
      <c r="J348">
        <v>3</v>
      </c>
    </row>
    <row r="349" spans="1:10" x14ac:dyDescent="0.25">
      <c r="A349" t="s">
        <v>429</v>
      </c>
      <c r="B349" t="s">
        <v>491</v>
      </c>
      <c r="C349" t="s">
        <v>492</v>
      </c>
      <c r="D349" t="s">
        <v>579</v>
      </c>
      <c r="E349" t="s">
        <v>580</v>
      </c>
      <c r="F349">
        <v>2025</v>
      </c>
      <c r="G349">
        <v>1</v>
      </c>
      <c r="H349" t="s">
        <v>320</v>
      </c>
      <c r="I349" t="s">
        <v>145</v>
      </c>
      <c r="J349">
        <v>3</v>
      </c>
    </row>
    <row r="350" spans="1:10" x14ac:dyDescent="0.25">
      <c r="A350" t="s">
        <v>429</v>
      </c>
      <c r="B350" t="s">
        <v>491</v>
      </c>
      <c r="C350" t="s">
        <v>492</v>
      </c>
      <c r="D350" t="s">
        <v>579</v>
      </c>
      <c r="E350" t="s">
        <v>580</v>
      </c>
      <c r="F350">
        <v>2025</v>
      </c>
      <c r="G350">
        <v>1</v>
      </c>
      <c r="H350" t="s">
        <v>321</v>
      </c>
      <c r="I350" t="s">
        <v>138</v>
      </c>
      <c r="J350">
        <v>3</v>
      </c>
    </row>
    <row r="351" spans="1:10" x14ac:dyDescent="0.25">
      <c r="A351" t="s">
        <v>429</v>
      </c>
      <c r="B351" t="s">
        <v>491</v>
      </c>
      <c r="C351" t="s">
        <v>492</v>
      </c>
      <c r="D351" t="s">
        <v>579</v>
      </c>
      <c r="E351" t="s">
        <v>580</v>
      </c>
      <c r="F351">
        <v>2025</v>
      </c>
      <c r="G351">
        <v>1</v>
      </c>
      <c r="H351" t="s">
        <v>322</v>
      </c>
      <c r="I351" t="s">
        <v>62</v>
      </c>
      <c r="J351">
        <v>3</v>
      </c>
    </row>
    <row r="352" spans="1:10" x14ac:dyDescent="0.25">
      <c r="A352" t="s">
        <v>429</v>
      </c>
      <c r="B352" t="s">
        <v>491</v>
      </c>
      <c r="C352" t="s">
        <v>492</v>
      </c>
      <c r="D352" t="s">
        <v>579</v>
      </c>
      <c r="E352" t="s">
        <v>580</v>
      </c>
      <c r="F352">
        <v>2025</v>
      </c>
      <c r="G352">
        <v>1</v>
      </c>
      <c r="H352" t="s">
        <v>323</v>
      </c>
      <c r="I352" t="s">
        <v>201</v>
      </c>
      <c r="J352">
        <v>3</v>
      </c>
    </row>
    <row r="353" spans="1:10" x14ac:dyDescent="0.25">
      <c r="A353" t="s">
        <v>429</v>
      </c>
      <c r="B353" t="s">
        <v>491</v>
      </c>
      <c r="C353" t="s">
        <v>492</v>
      </c>
      <c r="D353" t="s">
        <v>579</v>
      </c>
      <c r="E353" t="s">
        <v>580</v>
      </c>
      <c r="F353">
        <v>2025</v>
      </c>
      <c r="G353">
        <v>1</v>
      </c>
      <c r="H353" t="s">
        <v>325</v>
      </c>
      <c r="I353" t="s">
        <v>142</v>
      </c>
      <c r="J353">
        <v>3</v>
      </c>
    </row>
    <row r="354" spans="1:10" x14ac:dyDescent="0.25">
      <c r="A354" t="s">
        <v>429</v>
      </c>
      <c r="B354" t="s">
        <v>491</v>
      </c>
      <c r="C354" t="s">
        <v>492</v>
      </c>
      <c r="D354" t="s">
        <v>579</v>
      </c>
      <c r="E354" t="s">
        <v>580</v>
      </c>
      <c r="F354">
        <v>2025</v>
      </c>
      <c r="G354">
        <v>1</v>
      </c>
      <c r="H354" t="s">
        <v>327</v>
      </c>
      <c r="I354" t="s">
        <v>141</v>
      </c>
      <c r="J354">
        <v>3</v>
      </c>
    </row>
    <row r="355" spans="1:10" x14ac:dyDescent="0.25">
      <c r="A355" t="s">
        <v>429</v>
      </c>
      <c r="B355" t="s">
        <v>491</v>
      </c>
      <c r="C355" t="s">
        <v>492</v>
      </c>
      <c r="D355" t="s">
        <v>579</v>
      </c>
      <c r="E355" t="s">
        <v>580</v>
      </c>
      <c r="F355">
        <v>2025</v>
      </c>
      <c r="G355">
        <v>1</v>
      </c>
      <c r="H355" t="s">
        <v>324</v>
      </c>
      <c r="I355" t="s">
        <v>142</v>
      </c>
      <c r="J355">
        <v>3</v>
      </c>
    </row>
    <row r="356" spans="1:10" x14ac:dyDescent="0.25">
      <c r="A356" t="s">
        <v>429</v>
      </c>
      <c r="B356" t="s">
        <v>491</v>
      </c>
      <c r="C356" t="s">
        <v>492</v>
      </c>
      <c r="D356" t="s">
        <v>579</v>
      </c>
      <c r="E356" t="s">
        <v>580</v>
      </c>
      <c r="F356">
        <v>2025</v>
      </c>
      <c r="G356">
        <v>1</v>
      </c>
      <c r="H356" t="s">
        <v>326</v>
      </c>
      <c r="I356" t="s">
        <v>141</v>
      </c>
      <c r="J356">
        <v>3</v>
      </c>
    </row>
    <row r="357" spans="1:10" x14ac:dyDescent="0.25">
      <c r="A357" t="s">
        <v>429</v>
      </c>
      <c r="B357" t="s">
        <v>491</v>
      </c>
      <c r="C357" t="s">
        <v>492</v>
      </c>
      <c r="D357" t="s">
        <v>579</v>
      </c>
      <c r="E357" t="s">
        <v>580</v>
      </c>
      <c r="F357">
        <v>2025</v>
      </c>
      <c r="G357">
        <v>1</v>
      </c>
      <c r="H357" t="s">
        <v>328</v>
      </c>
      <c r="I357" t="s">
        <v>329</v>
      </c>
      <c r="J357">
        <v>3</v>
      </c>
    </row>
    <row r="358" spans="1:10" x14ac:dyDescent="0.25">
      <c r="A358" t="s">
        <v>430</v>
      </c>
      <c r="B358" t="s">
        <v>493</v>
      </c>
      <c r="C358" t="s">
        <v>494</v>
      </c>
      <c r="D358" t="s">
        <v>579</v>
      </c>
      <c r="E358" t="s">
        <v>581</v>
      </c>
      <c r="F358">
        <v>2025</v>
      </c>
      <c r="G358">
        <v>1</v>
      </c>
      <c r="H358" t="s">
        <v>337</v>
      </c>
      <c r="I358" t="s">
        <v>60</v>
      </c>
      <c r="J358">
        <v>3</v>
      </c>
    </row>
    <row r="359" spans="1:10" x14ac:dyDescent="0.25">
      <c r="A359" t="s">
        <v>430</v>
      </c>
      <c r="B359" t="s">
        <v>493</v>
      </c>
      <c r="C359" t="s">
        <v>494</v>
      </c>
      <c r="D359" t="s">
        <v>579</v>
      </c>
      <c r="E359" t="s">
        <v>581</v>
      </c>
      <c r="F359">
        <v>2025</v>
      </c>
      <c r="G359">
        <v>1</v>
      </c>
      <c r="H359" t="s">
        <v>338</v>
      </c>
      <c r="I359" t="s">
        <v>339</v>
      </c>
      <c r="J359">
        <v>3</v>
      </c>
    </row>
    <row r="360" spans="1:10" x14ac:dyDescent="0.25">
      <c r="A360" t="s">
        <v>430</v>
      </c>
      <c r="B360" t="s">
        <v>493</v>
      </c>
      <c r="C360" t="s">
        <v>494</v>
      </c>
      <c r="D360" t="s">
        <v>579</v>
      </c>
      <c r="E360" t="s">
        <v>581</v>
      </c>
      <c r="F360">
        <v>2025</v>
      </c>
      <c r="G360">
        <v>1</v>
      </c>
      <c r="H360" t="s">
        <v>341</v>
      </c>
      <c r="I360" t="s">
        <v>201</v>
      </c>
      <c r="J360">
        <v>3</v>
      </c>
    </row>
    <row r="361" spans="1:10" x14ac:dyDescent="0.25">
      <c r="A361" t="s">
        <v>430</v>
      </c>
      <c r="B361" t="s">
        <v>493</v>
      </c>
      <c r="C361" t="s">
        <v>494</v>
      </c>
      <c r="D361" t="s">
        <v>579</v>
      </c>
      <c r="E361" t="s">
        <v>581</v>
      </c>
      <c r="F361">
        <v>2025</v>
      </c>
      <c r="G361">
        <v>1</v>
      </c>
      <c r="H361" t="s">
        <v>342</v>
      </c>
      <c r="I361" t="s">
        <v>197</v>
      </c>
      <c r="J361">
        <v>2</v>
      </c>
    </row>
    <row r="362" spans="1:10" x14ac:dyDescent="0.25">
      <c r="A362" t="s">
        <v>430</v>
      </c>
      <c r="B362" t="s">
        <v>493</v>
      </c>
      <c r="C362" t="s">
        <v>494</v>
      </c>
      <c r="D362" t="s">
        <v>579</v>
      </c>
      <c r="E362" t="s">
        <v>581</v>
      </c>
      <c r="F362">
        <v>2025</v>
      </c>
      <c r="G362">
        <v>1</v>
      </c>
      <c r="H362" t="s">
        <v>300</v>
      </c>
      <c r="I362" t="s">
        <v>66</v>
      </c>
      <c r="J362">
        <v>3</v>
      </c>
    </row>
    <row r="363" spans="1:10" x14ac:dyDescent="0.25">
      <c r="A363" t="s">
        <v>430</v>
      </c>
      <c r="B363" t="s">
        <v>493</v>
      </c>
      <c r="C363" t="s">
        <v>494</v>
      </c>
      <c r="D363" t="s">
        <v>579</v>
      </c>
      <c r="E363" t="s">
        <v>581</v>
      </c>
      <c r="F363">
        <v>2025</v>
      </c>
      <c r="G363">
        <v>1</v>
      </c>
      <c r="H363" t="s">
        <v>343</v>
      </c>
      <c r="I363" t="s">
        <v>344</v>
      </c>
      <c r="J363">
        <v>3</v>
      </c>
    </row>
    <row r="364" spans="1:10" x14ac:dyDescent="0.25">
      <c r="A364" t="s">
        <v>430</v>
      </c>
      <c r="B364" t="s">
        <v>493</v>
      </c>
      <c r="C364" t="s">
        <v>494</v>
      </c>
      <c r="D364" t="s">
        <v>579</v>
      </c>
      <c r="E364" t="s">
        <v>581</v>
      </c>
      <c r="F364">
        <v>2025</v>
      </c>
      <c r="G364">
        <v>1</v>
      </c>
      <c r="H364" t="s">
        <v>345</v>
      </c>
      <c r="I364" t="s">
        <v>59</v>
      </c>
      <c r="J364">
        <v>3</v>
      </c>
    </row>
    <row r="365" spans="1:10" x14ac:dyDescent="0.25">
      <c r="A365" t="s">
        <v>430</v>
      </c>
      <c r="B365" t="s">
        <v>493</v>
      </c>
      <c r="C365" t="s">
        <v>494</v>
      </c>
      <c r="D365" t="s">
        <v>579</v>
      </c>
      <c r="E365" t="s">
        <v>581</v>
      </c>
      <c r="F365">
        <v>2025</v>
      </c>
      <c r="G365">
        <v>1</v>
      </c>
      <c r="H365" t="s">
        <v>346</v>
      </c>
      <c r="I365" t="s">
        <v>347</v>
      </c>
      <c r="J365">
        <v>3</v>
      </c>
    </row>
    <row r="366" spans="1:10" x14ac:dyDescent="0.25">
      <c r="A366" t="s">
        <v>431</v>
      </c>
      <c r="B366" t="s">
        <v>495</v>
      </c>
      <c r="C366" t="s">
        <v>496</v>
      </c>
      <c r="D366" t="s">
        <v>579</v>
      </c>
      <c r="E366" t="s">
        <v>582</v>
      </c>
      <c r="F366">
        <v>2025</v>
      </c>
      <c r="G366">
        <v>1</v>
      </c>
      <c r="H366" t="s">
        <v>355</v>
      </c>
      <c r="I366" t="s">
        <v>201</v>
      </c>
      <c r="J366">
        <v>3</v>
      </c>
    </row>
    <row r="367" spans="1:10" x14ac:dyDescent="0.25">
      <c r="A367" t="s">
        <v>431</v>
      </c>
      <c r="B367" t="s">
        <v>495</v>
      </c>
      <c r="C367" t="s">
        <v>496</v>
      </c>
      <c r="D367" t="s">
        <v>579</v>
      </c>
      <c r="E367" t="s">
        <v>582</v>
      </c>
      <c r="F367">
        <v>2025</v>
      </c>
      <c r="G367">
        <v>1</v>
      </c>
      <c r="H367" t="s">
        <v>356</v>
      </c>
      <c r="I367" t="s">
        <v>182</v>
      </c>
      <c r="J367">
        <v>3</v>
      </c>
    </row>
    <row r="368" spans="1:10" x14ac:dyDescent="0.25">
      <c r="A368" t="s">
        <v>431</v>
      </c>
      <c r="B368" t="s">
        <v>495</v>
      </c>
      <c r="C368" t="s">
        <v>496</v>
      </c>
      <c r="D368" t="s">
        <v>579</v>
      </c>
      <c r="E368" t="s">
        <v>582</v>
      </c>
      <c r="F368">
        <v>2025</v>
      </c>
      <c r="G368">
        <v>1</v>
      </c>
      <c r="H368" t="s">
        <v>357</v>
      </c>
      <c r="I368" t="s">
        <v>242</v>
      </c>
      <c r="J368">
        <v>3</v>
      </c>
    </row>
    <row r="369" spans="1:10" x14ac:dyDescent="0.25">
      <c r="A369" t="s">
        <v>431</v>
      </c>
      <c r="B369" t="s">
        <v>495</v>
      </c>
      <c r="C369" t="s">
        <v>496</v>
      </c>
      <c r="D369" t="s">
        <v>579</v>
      </c>
      <c r="E369" t="s">
        <v>582</v>
      </c>
      <c r="F369">
        <v>2025</v>
      </c>
      <c r="G369">
        <v>1</v>
      </c>
      <c r="H369" t="s">
        <v>358</v>
      </c>
      <c r="I369" t="s">
        <v>250</v>
      </c>
      <c r="J369">
        <v>3</v>
      </c>
    </row>
    <row r="370" spans="1:10" x14ac:dyDescent="0.25">
      <c r="A370" t="s">
        <v>431</v>
      </c>
      <c r="B370" t="s">
        <v>495</v>
      </c>
      <c r="C370" t="s">
        <v>496</v>
      </c>
      <c r="D370" t="s">
        <v>579</v>
      </c>
      <c r="E370" t="s">
        <v>582</v>
      </c>
      <c r="F370">
        <v>2025</v>
      </c>
      <c r="G370">
        <v>1</v>
      </c>
      <c r="H370" t="s">
        <v>359</v>
      </c>
      <c r="I370" t="s">
        <v>249</v>
      </c>
      <c r="J370">
        <v>3</v>
      </c>
    </row>
    <row r="371" spans="1:10" x14ac:dyDescent="0.25">
      <c r="A371" t="s">
        <v>431</v>
      </c>
      <c r="B371" t="s">
        <v>495</v>
      </c>
      <c r="C371" t="s">
        <v>496</v>
      </c>
      <c r="D371" t="s">
        <v>579</v>
      </c>
      <c r="E371" t="s">
        <v>582</v>
      </c>
      <c r="F371">
        <v>2025</v>
      </c>
      <c r="G371">
        <v>1</v>
      </c>
      <c r="H371" t="s">
        <v>360</v>
      </c>
      <c r="I371" t="s">
        <v>251</v>
      </c>
      <c r="J371">
        <v>3</v>
      </c>
    </row>
    <row r="372" spans="1:10" x14ac:dyDescent="0.25">
      <c r="A372" t="s">
        <v>431</v>
      </c>
      <c r="B372" t="s">
        <v>495</v>
      </c>
      <c r="C372" t="s">
        <v>496</v>
      </c>
      <c r="D372" t="s">
        <v>579</v>
      </c>
      <c r="E372" t="s">
        <v>582</v>
      </c>
      <c r="F372">
        <v>2025</v>
      </c>
      <c r="G372">
        <v>1</v>
      </c>
      <c r="H372" t="s">
        <v>361</v>
      </c>
      <c r="I372" t="s">
        <v>362</v>
      </c>
      <c r="J372">
        <v>3</v>
      </c>
    </row>
    <row r="373" spans="1:10" x14ac:dyDescent="0.25">
      <c r="A373" t="s">
        <v>431</v>
      </c>
      <c r="B373" t="s">
        <v>495</v>
      </c>
      <c r="C373" t="s">
        <v>496</v>
      </c>
      <c r="D373" t="s">
        <v>579</v>
      </c>
      <c r="E373" t="s">
        <v>582</v>
      </c>
      <c r="F373">
        <v>2025</v>
      </c>
      <c r="G373">
        <v>1</v>
      </c>
      <c r="H373" t="s">
        <v>363</v>
      </c>
      <c r="I373" t="s">
        <v>150</v>
      </c>
      <c r="J373">
        <v>3</v>
      </c>
    </row>
    <row r="374" spans="1:10" x14ac:dyDescent="0.25">
      <c r="A374" t="s">
        <v>432</v>
      </c>
      <c r="B374" t="s">
        <v>497</v>
      </c>
      <c r="C374" t="s">
        <v>498</v>
      </c>
      <c r="D374" t="s">
        <v>579</v>
      </c>
      <c r="E374" t="s">
        <v>583</v>
      </c>
      <c r="F374">
        <v>2025</v>
      </c>
      <c r="G374">
        <v>1</v>
      </c>
      <c r="H374" t="s">
        <v>316</v>
      </c>
      <c r="I374" t="s">
        <v>140</v>
      </c>
      <c r="J374">
        <v>3</v>
      </c>
    </row>
    <row r="375" spans="1:10" x14ac:dyDescent="0.25">
      <c r="A375" t="s">
        <v>432</v>
      </c>
      <c r="B375" t="s">
        <v>497</v>
      </c>
      <c r="C375" t="s">
        <v>498</v>
      </c>
      <c r="D375" t="s">
        <v>579</v>
      </c>
      <c r="E375" t="s">
        <v>583</v>
      </c>
      <c r="F375">
        <v>2025</v>
      </c>
      <c r="G375">
        <v>1</v>
      </c>
      <c r="H375" t="s">
        <v>322</v>
      </c>
      <c r="I375" t="s">
        <v>62</v>
      </c>
      <c r="J375">
        <v>3</v>
      </c>
    </row>
    <row r="376" spans="1:10" x14ac:dyDescent="0.25">
      <c r="A376" t="s">
        <v>432</v>
      </c>
      <c r="B376" t="s">
        <v>497</v>
      </c>
      <c r="C376" t="s">
        <v>498</v>
      </c>
      <c r="D376" t="s">
        <v>579</v>
      </c>
      <c r="E376" t="s">
        <v>583</v>
      </c>
      <c r="F376">
        <v>2025</v>
      </c>
      <c r="G376">
        <v>1</v>
      </c>
      <c r="H376" t="s">
        <v>340</v>
      </c>
      <c r="I376" t="s">
        <v>144</v>
      </c>
      <c r="J376">
        <v>3</v>
      </c>
    </row>
    <row r="377" spans="1:10" x14ac:dyDescent="0.25">
      <c r="A377" t="s">
        <v>432</v>
      </c>
      <c r="B377" t="s">
        <v>497</v>
      </c>
      <c r="C377" t="s">
        <v>498</v>
      </c>
      <c r="D377" t="s">
        <v>579</v>
      </c>
      <c r="E377" t="s">
        <v>583</v>
      </c>
      <c r="F377">
        <v>2025</v>
      </c>
      <c r="G377">
        <v>1</v>
      </c>
      <c r="H377" t="s">
        <v>365</v>
      </c>
      <c r="I377" t="s">
        <v>64</v>
      </c>
      <c r="J377">
        <v>3</v>
      </c>
    </row>
    <row r="378" spans="1:10" x14ac:dyDescent="0.25">
      <c r="A378" t="s">
        <v>432</v>
      </c>
      <c r="B378" t="s">
        <v>497</v>
      </c>
      <c r="C378" t="s">
        <v>498</v>
      </c>
      <c r="D378" t="s">
        <v>579</v>
      </c>
      <c r="E378" t="s">
        <v>583</v>
      </c>
      <c r="F378">
        <v>2025</v>
      </c>
      <c r="G378">
        <v>1</v>
      </c>
      <c r="H378" t="s">
        <v>319</v>
      </c>
      <c r="I378" t="s">
        <v>245</v>
      </c>
      <c r="J378">
        <v>3</v>
      </c>
    </row>
    <row r="379" spans="1:10" x14ac:dyDescent="0.25">
      <c r="A379" t="s">
        <v>432</v>
      </c>
      <c r="B379" t="s">
        <v>497</v>
      </c>
      <c r="C379" t="s">
        <v>498</v>
      </c>
      <c r="D379" t="s">
        <v>579</v>
      </c>
      <c r="E379" t="s">
        <v>583</v>
      </c>
      <c r="F379">
        <v>2025</v>
      </c>
      <c r="G379">
        <v>1</v>
      </c>
      <c r="H379" t="s">
        <v>300</v>
      </c>
      <c r="I379" t="s">
        <v>66</v>
      </c>
      <c r="J379">
        <v>3</v>
      </c>
    </row>
    <row r="380" spans="1:10" x14ac:dyDescent="0.25">
      <c r="A380" t="s">
        <v>129</v>
      </c>
      <c r="B380" t="s">
        <v>366</v>
      </c>
      <c r="C380" t="s">
        <v>499</v>
      </c>
      <c r="D380" t="s">
        <v>579</v>
      </c>
      <c r="E380" t="s">
        <v>416</v>
      </c>
      <c r="F380">
        <v>2025</v>
      </c>
      <c r="G380">
        <v>1</v>
      </c>
      <c r="H380" t="s">
        <v>304</v>
      </c>
      <c r="I380" t="s">
        <v>39</v>
      </c>
      <c r="J380">
        <v>3</v>
      </c>
    </row>
    <row r="381" spans="1:10" x14ac:dyDescent="0.25">
      <c r="A381" t="s">
        <v>129</v>
      </c>
      <c r="B381" t="s">
        <v>366</v>
      </c>
      <c r="C381" t="s">
        <v>499</v>
      </c>
      <c r="D381" t="s">
        <v>579</v>
      </c>
      <c r="E381" t="s">
        <v>416</v>
      </c>
      <c r="F381">
        <v>2025</v>
      </c>
      <c r="G381">
        <v>1</v>
      </c>
      <c r="H381" t="s">
        <v>306</v>
      </c>
      <c r="I381" t="s">
        <v>117</v>
      </c>
      <c r="J381">
        <v>3</v>
      </c>
    </row>
    <row r="382" spans="1:10" x14ac:dyDescent="0.25">
      <c r="A382" t="s">
        <v>129</v>
      </c>
      <c r="B382" t="s">
        <v>366</v>
      </c>
      <c r="C382" t="s">
        <v>499</v>
      </c>
      <c r="D382" t="s">
        <v>579</v>
      </c>
      <c r="E382" t="s">
        <v>416</v>
      </c>
      <c r="F382">
        <v>2025</v>
      </c>
      <c r="G382">
        <v>1</v>
      </c>
      <c r="H382" t="s">
        <v>307</v>
      </c>
      <c r="I382" t="s">
        <v>136</v>
      </c>
      <c r="J382">
        <v>3</v>
      </c>
    </row>
    <row r="383" spans="1:10" x14ac:dyDescent="0.25">
      <c r="A383" t="s">
        <v>129</v>
      </c>
      <c r="B383" t="s">
        <v>366</v>
      </c>
      <c r="C383" t="s">
        <v>499</v>
      </c>
      <c r="D383" t="s">
        <v>579</v>
      </c>
      <c r="E383" t="s">
        <v>416</v>
      </c>
      <c r="F383">
        <v>2025</v>
      </c>
      <c r="G383">
        <v>1</v>
      </c>
      <c r="H383" t="s">
        <v>308</v>
      </c>
      <c r="I383" t="s">
        <v>136</v>
      </c>
      <c r="J383">
        <v>3</v>
      </c>
    </row>
    <row r="384" spans="1:10" x14ac:dyDescent="0.25">
      <c r="A384" t="s">
        <v>129</v>
      </c>
      <c r="B384" t="s">
        <v>366</v>
      </c>
      <c r="C384" t="s">
        <v>499</v>
      </c>
      <c r="D384" t="s">
        <v>579</v>
      </c>
      <c r="E384" t="s">
        <v>416</v>
      </c>
      <c r="F384">
        <v>2025</v>
      </c>
      <c r="G384">
        <v>1</v>
      </c>
      <c r="H384" t="s">
        <v>309</v>
      </c>
      <c r="I384" t="s">
        <v>132</v>
      </c>
      <c r="J384">
        <v>3</v>
      </c>
    </row>
    <row r="385" spans="1:10" x14ac:dyDescent="0.25">
      <c r="A385" t="s">
        <v>129</v>
      </c>
      <c r="B385" t="s">
        <v>366</v>
      </c>
      <c r="C385" t="s">
        <v>499</v>
      </c>
      <c r="D385" t="s">
        <v>579</v>
      </c>
      <c r="E385" t="s">
        <v>416</v>
      </c>
      <c r="F385">
        <v>2025</v>
      </c>
      <c r="G385">
        <v>1</v>
      </c>
      <c r="H385" t="s">
        <v>310</v>
      </c>
      <c r="I385" t="s">
        <v>132</v>
      </c>
      <c r="J385">
        <v>3</v>
      </c>
    </row>
    <row r="386" spans="1:10" x14ac:dyDescent="0.25">
      <c r="A386" t="s">
        <v>129</v>
      </c>
      <c r="B386" t="s">
        <v>366</v>
      </c>
      <c r="C386" t="s">
        <v>499</v>
      </c>
      <c r="D386" t="s">
        <v>579</v>
      </c>
      <c r="E386" t="s">
        <v>416</v>
      </c>
      <c r="F386">
        <v>2025</v>
      </c>
      <c r="G386">
        <v>1</v>
      </c>
      <c r="H386" t="s">
        <v>311</v>
      </c>
      <c r="I386" t="s">
        <v>312</v>
      </c>
      <c r="J386">
        <v>3</v>
      </c>
    </row>
    <row r="387" spans="1:10" x14ac:dyDescent="0.25">
      <c r="A387" t="s">
        <v>129</v>
      </c>
      <c r="B387" t="s">
        <v>366</v>
      </c>
      <c r="C387" t="s">
        <v>499</v>
      </c>
      <c r="D387" t="s">
        <v>579</v>
      </c>
      <c r="E387" t="s">
        <v>416</v>
      </c>
      <c r="F387">
        <v>2025</v>
      </c>
      <c r="G387">
        <v>1</v>
      </c>
      <c r="H387" t="s">
        <v>313</v>
      </c>
      <c r="I387" t="s">
        <v>312</v>
      </c>
      <c r="J387">
        <v>3</v>
      </c>
    </row>
    <row r="388" spans="1:10" x14ac:dyDescent="0.25">
      <c r="A388" t="s">
        <v>129</v>
      </c>
      <c r="B388" t="s">
        <v>366</v>
      </c>
      <c r="C388" t="s">
        <v>499</v>
      </c>
      <c r="D388" t="s">
        <v>579</v>
      </c>
      <c r="E388" t="s">
        <v>416</v>
      </c>
      <c r="F388">
        <v>2025</v>
      </c>
      <c r="G388">
        <v>1</v>
      </c>
      <c r="H388" t="s">
        <v>314</v>
      </c>
      <c r="I388" t="s">
        <v>125</v>
      </c>
      <c r="J388">
        <v>3</v>
      </c>
    </row>
    <row r="389" spans="1:10" x14ac:dyDescent="0.25">
      <c r="A389" t="s">
        <v>129</v>
      </c>
      <c r="B389" t="s">
        <v>366</v>
      </c>
      <c r="C389" t="s">
        <v>499</v>
      </c>
      <c r="D389" t="s">
        <v>579</v>
      </c>
      <c r="E389" t="s">
        <v>416</v>
      </c>
      <c r="F389">
        <v>2025</v>
      </c>
      <c r="G389">
        <v>1</v>
      </c>
      <c r="H389" t="s">
        <v>315</v>
      </c>
      <c r="I389" t="s">
        <v>41</v>
      </c>
      <c r="J389">
        <v>3</v>
      </c>
    </row>
    <row r="390" spans="1:10" x14ac:dyDescent="0.25">
      <c r="A390" t="s">
        <v>129</v>
      </c>
      <c r="B390" t="s">
        <v>366</v>
      </c>
      <c r="C390" t="s">
        <v>499</v>
      </c>
      <c r="D390" t="s">
        <v>579</v>
      </c>
      <c r="E390" t="s">
        <v>416</v>
      </c>
      <c r="F390">
        <v>2025</v>
      </c>
      <c r="G390">
        <v>1</v>
      </c>
      <c r="H390" t="s">
        <v>316</v>
      </c>
      <c r="I390" t="s">
        <v>140</v>
      </c>
      <c r="J390">
        <v>3</v>
      </c>
    </row>
    <row r="391" spans="1:10" x14ac:dyDescent="0.25">
      <c r="A391" t="s">
        <v>129</v>
      </c>
      <c r="B391" t="s">
        <v>366</v>
      </c>
      <c r="C391" t="s">
        <v>499</v>
      </c>
      <c r="D391" t="s">
        <v>579</v>
      </c>
      <c r="E391" t="s">
        <v>416</v>
      </c>
      <c r="F391">
        <v>2025</v>
      </c>
      <c r="G391">
        <v>1</v>
      </c>
      <c r="H391" t="s">
        <v>317</v>
      </c>
      <c r="I391" t="s">
        <v>123</v>
      </c>
      <c r="J391">
        <v>3</v>
      </c>
    </row>
    <row r="392" spans="1:10" x14ac:dyDescent="0.25">
      <c r="A392" t="s">
        <v>129</v>
      </c>
      <c r="B392" t="s">
        <v>366</v>
      </c>
      <c r="C392" t="s">
        <v>499</v>
      </c>
      <c r="D392" t="s">
        <v>579</v>
      </c>
      <c r="E392" t="s">
        <v>416</v>
      </c>
      <c r="F392">
        <v>2025</v>
      </c>
      <c r="G392">
        <v>1</v>
      </c>
      <c r="H392" t="s">
        <v>318</v>
      </c>
      <c r="I392" t="s">
        <v>123</v>
      </c>
      <c r="J392">
        <v>3</v>
      </c>
    </row>
    <row r="393" spans="1:10" x14ac:dyDescent="0.25">
      <c r="A393" t="s">
        <v>129</v>
      </c>
      <c r="B393" t="s">
        <v>366</v>
      </c>
      <c r="C393" t="s">
        <v>499</v>
      </c>
      <c r="D393" t="s">
        <v>579</v>
      </c>
      <c r="E393" t="s">
        <v>416</v>
      </c>
      <c r="F393">
        <v>2025</v>
      </c>
      <c r="G393">
        <v>1</v>
      </c>
      <c r="H393" t="s">
        <v>319</v>
      </c>
      <c r="I393" t="s">
        <v>245</v>
      </c>
      <c r="J393">
        <v>3</v>
      </c>
    </row>
    <row r="394" spans="1:10" x14ac:dyDescent="0.25">
      <c r="A394" t="s">
        <v>186</v>
      </c>
      <c r="B394" t="s">
        <v>500</v>
      </c>
      <c r="C394" t="s">
        <v>501</v>
      </c>
      <c r="D394" t="s">
        <v>579</v>
      </c>
      <c r="E394" t="s">
        <v>423</v>
      </c>
      <c r="F394">
        <v>2025</v>
      </c>
      <c r="G394">
        <v>1</v>
      </c>
      <c r="H394" t="s">
        <v>289</v>
      </c>
      <c r="I394" t="s">
        <v>131</v>
      </c>
      <c r="J394">
        <v>3</v>
      </c>
    </row>
    <row r="395" spans="1:10" x14ac:dyDescent="0.25">
      <c r="A395" t="s">
        <v>186</v>
      </c>
      <c r="B395" t="s">
        <v>500</v>
      </c>
      <c r="C395" t="s">
        <v>501</v>
      </c>
      <c r="D395" t="s">
        <v>579</v>
      </c>
      <c r="E395" t="s">
        <v>423</v>
      </c>
      <c r="F395">
        <v>2025</v>
      </c>
      <c r="G395">
        <v>1</v>
      </c>
      <c r="H395" t="s">
        <v>330</v>
      </c>
      <c r="I395" t="s">
        <v>115</v>
      </c>
      <c r="J395">
        <v>3</v>
      </c>
    </row>
    <row r="396" spans="1:10" x14ac:dyDescent="0.25">
      <c r="A396" t="s">
        <v>186</v>
      </c>
      <c r="B396" t="s">
        <v>500</v>
      </c>
      <c r="C396" t="s">
        <v>501</v>
      </c>
      <c r="D396" t="s">
        <v>579</v>
      </c>
      <c r="E396" t="s">
        <v>423</v>
      </c>
      <c r="F396">
        <v>2025</v>
      </c>
      <c r="G396">
        <v>1</v>
      </c>
      <c r="H396" t="s">
        <v>331</v>
      </c>
      <c r="I396" t="s">
        <v>188</v>
      </c>
      <c r="J396">
        <v>3</v>
      </c>
    </row>
    <row r="397" spans="1:10" x14ac:dyDescent="0.25">
      <c r="A397" t="s">
        <v>186</v>
      </c>
      <c r="B397" t="s">
        <v>500</v>
      </c>
      <c r="C397" t="s">
        <v>501</v>
      </c>
      <c r="D397" t="s">
        <v>579</v>
      </c>
      <c r="E397" t="s">
        <v>423</v>
      </c>
      <c r="F397">
        <v>2025</v>
      </c>
      <c r="G397">
        <v>1</v>
      </c>
      <c r="H397" t="s">
        <v>315</v>
      </c>
      <c r="I397" t="s">
        <v>41</v>
      </c>
      <c r="J397">
        <v>3</v>
      </c>
    </row>
    <row r="398" spans="1:10" x14ac:dyDescent="0.25">
      <c r="A398" t="s">
        <v>186</v>
      </c>
      <c r="B398" t="s">
        <v>500</v>
      </c>
      <c r="C398" t="s">
        <v>501</v>
      </c>
      <c r="D398" t="s">
        <v>579</v>
      </c>
      <c r="E398" t="s">
        <v>423</v>
      </c>
      <c r="F398">
        <v>2025</v>
      </c>
      <c r="G398">
        <v>1</v>
      </c>
      <c r="H398" t="s">
        <v>332</v>
      </c>
      <c r="I398" t="s">
        <v>190</v>
      </c>
      <c r="J398">
        <v>3</v>
      </c>
    </row>
    <row r="399" spans="1:10" x14ac:dyDescent="0.25">
      <c r="A399" t="s">
        <v>186</v>
      </c>
      <c r="B399" t="s">
        <v>500</v>
      </c>
      <c r="C399" t="s">
        <v>501</v>
      </c>
      <c r="D399" t="s">
        <v>579</v>
      </c>
      <c r="E399" t="s">
        <v>423</v>
      </c>
      <c r="F399">
        <v>2025</v>
      </c>
      <c r="G399">
        <v>1</v>
      </c>
      <c r="H399" t="s">
        <v>333</v>
      </c>
      <c r="I399" t="s">
        <v>334</v>
      </c>
      <c r="J399">
        <v>3</v>
      </c>
    </row>
    <row r="400" spans="1:10" x14ac:dyDescent="0.25">
      <c r="A400" t="s">
        <v>186</v>
      </c>
      <c r="B400" t="s">
        <v>500</v>
      </c>
      <c r="C400" t="s">
        <v>501</v>
      </c>
      <c r="D400" t="s">
        <v>579</v>
      </c>
      <c r="E400" t="s">
        <v>423</v>
      </c>
      <c r="F400">
        <v>2025</v>
      </c>
      <c r="G400">
        <v>1</v>
      </c>
      <c r="H400" t="s">
        <v>335</v>
      </c>
      <c r="I400" t="s">
        <v>194</v>
      </c>
      <c r="J400">
        <v>3</v>
      </c>
    </row>
    <row r="401" spans="1:10" x14ac:dyDescent="0.25">
      <c r="A401" t="s">
        <v>186</v>
      </c>
      <c r="B401" t="s">
        <v>500</v>
      </c>
      <c r="C401" t="s">
        <v>501</v>
      </c>
      <c r="D401" t="s">
        <v>579</v>
      </c>
      <c r="E401" t="s">
        <v>423</v>
      </c>
      <c r="F401">
        <v>2025</v>
      </c>
      <c r="G401">
        <v>1</v>
      </c>
      <c r="H401" t="s">
        <v>336</v>
      </c>
      <c r="I401" t="s">
        <v>55</v>
      </c>
      <c r="J401">
        <v>3</v>
      </c>
    </row>
    <row r="402" spans="1:10" x14ac:dyDescent="0.25">
      <c r="A402" t="s">
        <v>186</v>
      </c>
      <c r="B402" t="s">
        <v>500</v>
      </c>
      <c r="C402" t="s">
        <v>501</v>
      </c>
      <c r="D402" t="s">
        <v>579</v>
      </c>
      <c r="E402" t="s">
        <v>423</v>
      </c>
      <c r="F402">
        <v>2025</v>
      </c>
      <c r="G402">
        <v>1</v>
      </c>
      <c r="H402" t="s">
        <v>306</v>
      </c>
      <c r="I402" t="s">
        <v>117</v>
      </c>
      <c r="J402">
        <v>3</v>
      </c>
    </row>
    <row r="403" spans="1:10" x14ac:dyDescent="0.25">
      <c r="A403" t="s">
        <v>243</v>
      </c>
      <c r="B403" t="s">
        <v>502</v>
      </c>
      <c r="C403" t="s">
        <v>503</v>
      </c>
      <c r="D403" t="s">
        <v>579</v>
      </c>
      <c r="E403" t="s">
        <v>427</v>
      </c>
      <c r="F403">
        <v>2025</v>
      </c>
      <c r="G403">
        <v>1</v>
      </c>
      <c r="H403" t="s">
        <v>350</v>
      </c>
      <c r="I403" t="s">
        <v>109</v>
      </c>
      <c r="J403">
        <v>3</v>
      </c>
    </row>
    <row r="404" spans="1:10" x14ac:dyDescent="0.25">
      <c r="A404" t="s">
        <v>243</v>
      </c>
      <c r="B404" t="s">
        <v>502</v>
      </c>
      <c r="C404" t="s">
        <v>503</v>
      </c>
      <c r="D404" t="s">
        <v>579</v>
      </c>
      <c r="E404" t="s">
        <v>427</v>
      </c>
      <c r="F404">
        <v>2025</v>
      </c>
      <c r="G404">
        <v>1</v>
      </c>
      <c r="H404" t="s">
        <v>351</v>
      </c>
      <c r="I404" t="s">
        <v>152</v>
      </c>
      <c r="J404">
        <v>3</v>
      </c>
    </row>
    <row r="405" spans="1:10" x14ac:dyDescent="0.25">
      <c r="A405" t="s">
        <v>243</v>
      </c>
      <c r="B405" t="s">
        <v>502</v>
      </c>
      <c r="C405" t="s">
        <v>503</v>
      </c>
      <c r="D405" t="s">
        <v>579</v>
      </c>
      <c r="E405" t="s">
        <v>427</v>
      </c>
      <c r="F405">
        <v>2025</v>
      </c>
      <c r="G405">
        <v>1</v>
      </c>
      <c r="H405" t="s">
        <v>304</v>
      </c>
      <c r="I405" t="s">
        <v>39</v>
      </c>
      <c r="J405">
        <v>3</v>
      </c>
    </row>
    <row r="406" spans="1:10" x14ac:dyDescent="0.25">
      <c r="A406" t="s">
        <v>243</v>
      </c>
      <c r="B406" t="s">
        <v>502</v>
      </c>
      <c r="C406" t="s">
        <v>503</v>
      </c>
      <c r="D406" t="s">
        <v>579</v>
      </c>
      <c r="E406" t="s">
        <v>427</v>
      </c>
      <c r="F406">
        <v>2025</v>
      </c>
      <c r="G406">
        <v>1</v>
      </c>
      <c r="H406" t="s">
        <v>319</v>
      </c>
      <c r="I406" t="s">
        <v>245</v>
      </c>
      <c r="J406">
        <v>3</v>
      </c>
    </row>
    <row r="407" spans="1:10" x14ac:dyDescent="0.25">
      <c r="A407" t="s">
        <v>243</v>
      </c>
      <c r="B407" t="s">
        <v>502</v>
      </c>
      <c r="C407" t="s">
        <v>503</v>
      </c>
      <c r="D407" t="s">
        <v>579</v>
      </c>
      <c r="E407" t="s">
        <v>427</v>
      </c>
      <c r="F407">
        <v>2025</v>
      </c>
      <c r="G407">
        <v>1</v>
      </c>
      <c r="H407" t="s">
        <v>352</v>
      </c>
      <c r="I407" t="s">
        <v>274</v>
      </c>
      <c r="J407">
        <v>3</v>
      </c>
    </row>
    <row r="408" spans="1:10" x14ac:dyDescent="0.25">
      <c r="A408" t="s">
        <v>243</v>
      </c>
      <c r="B408" t="s">
        <v>502</v>
      </c>
      <c r="C408" t="s">
        <v>503</v>
      </c>
      <c r="D408" t="s">
        <v>579</v>
      </c>
      <c r="E408" t="s">
        <v>427</v>
      </c>
      <c r="F408">
        <v>2025</v>
      </c>
      <c r="G408">
        <v>1</v>
      </c>
      <c r="H408" t="s">
        <v>353</v>
      </c>
      <c r="I408" t="s">
        <v>100</v>
      </c>
      <c r="J408">
        <v>3</v>
      </c>
    </row>
    <row r="409" spans="1:10" x14ac:dyDescent="0.25">
      <c r="A409" t="s">
        <v>243</v>
      </c>
      <c r="B409" t="s">
        <v>502</v>
      </c>
      <c r="C409" t="s">
        <v>503</v>
      </c>
      <c r="D409" t="s">
        <v>579</v>
      </c>
      <c r="E409" t="s">
        <v>427</v>
      </c>
      <c r="F409">
        <v>2025</v>
      </c>
      <c r="G409">
        <v>1</v>
      </c>
      <c r="H409" t="s">
        <v>354</v>
      </c>
      <c r="I409" t="s">
        <v>244</v>
      </c>
      <c r="J409">
        <v>2</v>
      </c>
    </row>
    <row r="410" spans="1:10" x14ac:dyDescent="0.25">
      <c r="A410" t="s">
        <v>252</v>
      </c>
      <c r="B410" t="s">
        <v>504</v>
      </c>
      <c r="C410" t="s">
        <v>505</v>
      </c>
      <c r="D410" t="s">
        <v>579</v>
      </c>
      <c r="E410" t="s">
        <v>428</v>
      </c>
      <c r="F410">
        <v>2025</v>
      </c>
      <c r="G410">
        <v>1</v>
      </c>
      <c r="H410" t="s">
        <v>289</v>
      </c>
      <c r="I410" t="s">
        <v>131</v>
      </c>
      <c r="J410">
        <v>3</v>
      </c>
    </row>
    <row r="411" spans="1:10" x14ac:dyDescent="0.25">
      <c r="A411" t="s">
        <v>252</v>
      </c>
      <c r="B411" t="s">
        <v>504</v>
      </c>
      <c r="C411" t="s">
        <v>505</v>
      </c>
      <c r="D411" t="s">
        <v>579</v>
      </c>
      <c r="E411" t="s">
        <v>428</v>
      </c>
      <c r="F411">
        <v>2025</v>
      </c>
      <c r="G411">
        <v>1</v>
      </c>
      <c r="H411" t="s">
        <v>330</v>
      </c>
      <c r="I411" t="s">
        <v>115</v>
      </c>
      <c r="J411">
        <v>3</v>
      </c>
    </row>
    <row r="412" spans="1:10" x14ac:dyDescent="0.25">
      <c r="A412" t="s">
        <v>252</v>
      </c>
      <c r="B412" t="s">
        <v>504</v>
      </c>
      <c r="C412" t="s">
        <v>505</v>
      </c>
      <c r="D412" t="s">
        <v>579</v>
      </c>
      <c r="E412" t="s">
        <v>428</v>
      </c>
      <c r="F412">
        <v>2025</v>
      </c>
      <c r="G412">
        <v>1</v>
      </c>
      <c r="H412" t="s">
        <v>331</v>
      </c>
      <c r="I412" t="s">
        <v>188</v>
      </c>
      <c r="J412">
        <v>3</v>
      </c>
    </row>
    <row r="413" spans="1:10" x14ac:dyDescent="0.25">
      <c r="A413" t="s">
        <v>252</v>
      </c>
      <c r="B413" t="s">
        <v>504</v>
      </c>
      <c r="C413" t="s">
        <v>505</v>
      </c>
      <c r="D413" t="s">
        <v>579</v>
      </c>
      <c r="E413" t="s">
        <v>428</v>
      </c>
      <c r="F413">
        <v>2025</v>
      </c>
      <c r="G413">
        <v>1</v>
      </c>
      <c r="H413" t="s">
        <v>315</v>
      </c>
      <c r="I413" t="s">
        <v>41</v>
      </c>
      <c r="J413">
        <v>3</v>
      </c>
    </row>
    <row r="414" spans="1:10" x14ac:dyDescent="0.25">
      <c r="A414" t="s">
        <v>252</v>
      </c>
      <c r="B414" t="s">
        <v>504</v>
      </c>
      <c r="C414" t="s">
        <v>505</v>
      </c>
      <c r="D414" t="s">
        <v>579</v>
      </c>
      <c r="E414" t="s">
        <v>428</v>
      </c>
      <c r="F414">
        <v>2025</v>
      </c>
      <c r="G414">
        <v>1</v>
      </c>
      <c r="H414" t="s">
        <v>332</v>
      </c>
      <c r="I414" t="s">
        <v>190</v>
      </c>
      <c r="J414">
        <v>3</v>
      </c>
    </row>
    <row r="415" spans="1:10" x14ac:dyDescent="0.25">
      <c r="A415" t="s">
        <v>252</v>
      </c>
      <c r="B415" t="s">
        <v>504</v>
      </c>
      <c r="C415" t="s">
        <v>505</v>
      </c>
      <c r="D415" t="s">
        <v>579</v>
      </c>
      <c r="E415" t="s">
        <v>428</v>
      </c>
      <c r="F415">
        <v>2025</v>
      </c>
      <c r="G415">
        <v>1</v>
      </c>
      <c r="H415" t="s">
        <v>364</v>
      </c>
      <c r="I415" t="s">
        <v>201</v>
      </c>
      <c r="J415">
        <v>3</v>
      </c>
    </row>
    <row r="416" spans="1:10" x14ac:dyDescent="0.25">
      <c r="A416" t="s">
        <v>252</v>
      </c>
      <c r="B416" t="s">
        <v>504</v>
      </c>
      <c r="C416" t="s">
        <v>505</v>
      </c>
      <c r="D416" t="s">
        <v>579</v>
      </c>
      <c r="E416" t="s">
        <v>428</v>
      </c>
      <c r="F416">
        <v>2025</v>
      </c>
      <c r="G416">
        <v>1</v>
      </c>
      <c r="H416" t="s">
        <v>336</v>
      </c>
      <c r="I416" t="s">
        <v>55</v>
      </c>
      <c r="J416">
        <v>3</v>
      </c>
    </row>
    <row r="417" spans="1:17" x14ac:dyDescent="0.25">
      <c r="A417" t="s">
        <v>252</v>
      </c>
      <c r="B417" t="s">
        <v>504</v>
      </c>
      <c r="C417" t="s">
        <v>505</v>
      </c>
      <c r="D417" t="s">
        <v>579</v>
      </c>
      <c r="E417" t="s">
        <v>428</v>
      </c>
      <c r="F417">
        <v>2025</v>
      </c>
      <c r="G417">
        <v>1</v>
      </c>
      <c r="H417" t="s">
        <v>343</v>
      </c>
      <c r="I417" t="s">
        <v>344</v>
      </c>
      <c r="J417">
        <v>3</v>
      </c>
    </row>
    <row r="418" spans="1:17" x14ac:dyDescent="0.25">
      <c r="A418" t="s">
        <v>252</v>
      </c>
      <c r="B418" t="s">
        <v>504</v>
      </c>
      <c r="C418" t="s">
        <v>505</v>
      </c>
      <c r="D418" t="s">
        <v>579</v>
      </c>
      <c r="E418" t="s">
        <v>428</v>
      </c>
      <c r="F418">
        <v>2025</v>
      </c>
      <c r="G418">
        <v>1</v>
      </c>
      <c r="H418" t="s">
        <v>345</v>
      </c>
      <c r="I418" t="s">
        <v>59</v>
      </c>
      <c r="J418">
        <v>3</v>
      </c>
    </row>
    <row r="419" spans="1:17" x14ac:dyDescent="0.25">
      <c r="A419" t="s">
        <v>252</v>
      </c>
      <c r="B419" t="s">
        <v>504</v>
      </c>
      <c r="C419" t="s">
        <v>505</v>
      </c>
      <c r="D419" t="s">
        <v>579</v>
      </c>
      <c r="E419" t="s">
        <v>428</v>
      </c>
      <c r="F419">
        <v>2025</v>
      </c>
      <c r="G419">
        <v>1</v>
      </c>
      <c r="H419" t="s">
        <v>306</v>
      </c>
      <c r="I419" t="s">
        <v>117</v>
      </c>
      <c r="J419">
        <v>3</v>
      </c>
    </row>
    <row r="420" spans="1:17" x14ac:dyDescent="0.25">
      <c r="A420" t="s">
        <v>391</v>
      </c>
      <c r="B420" t="s">
        <v>521</v>
      </c>
      <c r="C420" t="s">
        <v>522</v>
      </c>
      <c r="D420" t="str">
        <f>LEFT(C420,3)</f>
        <v>K11</v>
      </c>
      <c r="E420" t="str">
        <f>LEFT(A420,LEN(A420)-4)</f>
        <v>KDQT3.5Y</v>
      </c>
      <c r="F420">
        <v>2025</v>
      </c>
      <c r="G420">
        <v>1</v>
      </c>
      <c r="H420" t="s">
        <v>282</v>
      </c>
      <c r="I420" t="s">
        <v>25</v>
      </c>
      <c r="J420">
        <v>3</v>
      </c>
      <c r="Q420" t="s">
        <v>5</v>
      </c>
    </row>
    <row r="421" spans="1:17" x14ac:dyDescent="0.25">
      <c r="A421" t="s">
        <v>391</v>
      </c>
      <c r="B421" t="s">
        <v>521</v>
      </c>
      <c r="C421" t="s">
        <v>522</v>
      </c>
      <c r="D421" t="str">
        <f t="shared" ref="D421:D484" si="0">LEFT(C421,3)</f>
        <v>K11</v>
      </c>
      <c r="E421" t="str">
        <f t="shared" ref="E421:E484" si="1">LEFT(A421,LEN(A421)-4)</f>
        <v>KDQT3.5Y</v>
      </c>
      <c r="F421">
        <v>2025</v>
      </c>
      <c r="G421">
        <v>1</v>
      </c>
      <c r="H421" t="s">
        <v>304</v>
      </c>
      <c r="I421" t="s">
        <v>39</v>
      </c>
      <c r="J421">
        <v>3</v>
      </c>
      <c r="Q421" t="s">
        <v>5</v>
      </c>
    </row>
    <row r="422" spans="1:17" x14ac:dyDescent="0.25">
      <c r="A422" t="s">
        <v>391</v>
      </c>
      <c r="B422" t="s">
        <v>521</v>
      </c>
      <c r="C422" t="s">
        <v>522</v>
      </c>
      <c r="D422" t="str">
        <f t="shared" si="0"/>
        <v>K11</v>
      </c>
      <c r="E422" t="str">
        <f t="shared" si="1"/>
        <v>KDQT3.5Y</v>
      </c>
      <c r="F422">
        <v>2025</v>
      </c>
      <c r="G422">
        <v>1</v>
      </c>
      <c r="H422" t="s">
        <v>330</v>
      </c>
      <c r="I422" t="s">
        <v>115</v>
      </c>
      <c r="J422">
        <v>3</v>
      </c>
      <c r="N422" t="s">
        <v>293</v>
      </c>
      <c r="Q422" t="s">
        <v>5</v>
      </c>
    </row>
    <row r="423" spans="1:17" x14ac:dyDescent="0.25">
      <c r="A423" t="s">
        <v>391</v>
      </c>
      <c r="B423" t="s">
        <v>521</v>
      </c>
      <c r="C423" t="s">
        <v>522</v>
      </c>
      <c r="D423" t="str">
        <f t="shared" si="0"/>
        <v>K11</v>
      </c>
      <c r="E423" t="str">
        <f t="shared" si="1"/>
        <v>KDQT3.5Y</v>
      </c>
      <c r="F423">
        <v>2025</v>
      </c>
      <c r="G423">
        <v>1</v>
      </c>
      <c r="H423" t="s">
        <v>294</v>
      </c>
      <c r="I423" t="s">
        <v>107</v>
      </c>
      <c r="J423">
        <v>3</v>
      </c>
      <c r="N423" t="s">
        <v>293</v>
      </c>
      <c r="Q423" t="s">
        <v>5</v>
      </c>
    </row>
    <row r="424" spans="1:17" x14ac:dyDescent="0.25">
      <c r="A424" t="s">
        <v>391</v>
      </c>
      <c r="B424" t="s">
        <v>521</v>
      </c>
      <c r="C424" t="s">
        <v>522</v>
      </c>
      <c r="D424" t="str">
        <f t="shared" si="0"/>
        <v>K11</v>
      </c>
      <c r="E424" t="str">
        <f t="shared" si="1"/>
        <v>KDQT3.5Y</v>
      </c>
      <c r="F424">
        <v>2025</v>
      </c>
      <c r="G424">
        <v>1</v>
      </c>
      <c r="H424" t="s">
        <v>374</v>
      </c>
      <c r="I424" t="s">
        <v>119</v>
      </c>
      <c r="J424">
        <v>3</v>
      </c>
      <c r="N424" t="s">
        <v>375</v>
      </c>
      <c r="Q424" t="s">
        <v>5</v>
      </c>
    </row>
    <row r="425" spans="1:17" x14ac:dyDescent="0.25">
      <c r="A425" t="s">
        <v>391</v>
      </c>
      <c r="B425" t="s">
        <v>521</v>
      </c>
      <c r="C425" t="s">
        <v>522</v>
      </c>
      <c r="D425" t="str">
        <f t="shared" si="0"/>
        <v>K11</v>
      </c>
      <c r="E425" t="str">
        <f t="shared" si="1"/>
        <v>KDQT3.5Y</v>
      </c>
      <c r="F425">
        <v>2025</v>
      </c>
      <c r="G425">
        <v>1</v>
      </c>
      <c r="H425" t="s">
        <v>376</v>
      </c>
      <c r="I425" t="s">
        <v>266</v>
      </c>
      <c r="J425">
        <v>3</v>
      </c>
      <c r="K425" t="s">
        <v>92</v>
      </c>
    </row>
    <row r="426" spans="1:17" x14ac:dyDescent="0.25">
      <c r="A426" t="s">
        <v>391</v>
      </c>
      <c r="B426" t="s">
        <v>521</v>
      </c>
      <c r="C426" t="s">
        <v>522</v>
      </c>
      <c r="D426" t="str">
        <f t="shared" si="0"/>
        <v>K11</v>
      </c>
      <c r="E426" t="str">
        <f t="shared" si="1"/>
        <v>KDQT3.5Y</v>
      </c>
      <c r="F426">
        <v>2025</v>
      </c>
      <c r="G426">
        <v>1</v>
      </c>
      <c r="H426" t="s">
        <v>288</v>
      </c>
      <c r="I426" t="s">
        <v>227</v>
      </c>
      <c r="J426">
        <v>3</v>
      </c>
      <c r="K426" t="s">
        <v>92</v>
      </c>
      <c r="Q426" t="s">
        <v>5</v>
      </c>
    </row>
    <row r="427" spans="1:17" x14ac:dyDescent="0.25">
      <c r="A427" t="s">
        <v>392</v>
      </c>
      <c r="B427" t="s">
        <v>523</v>
      </c>
      <c r="C427" t="s">
        <v>524</v>
      </c>
      <c r="D427" t="str">
        <f t="shared" si="0"/>
        <v>K11</v>
      </c>
      <c r="E427" t="str">
        <f t="shared" si="1"/>
        <v>KT3.5Y</v>
      </c>
      <c r="F427">
        <v>2025</v>
      </c>
      <c r="G427">
        <v>1</v>
      </c>
      <c r="H427" t="s">
        <v>289</v>
      </c>
      <c r="I427" t="s">
        <v>131</v>
      </c>
      <c r="J427">
        <v>3</v>
      </c>
      <c r="N427" t="s">
        <v>290</v>
      </c>
      <c r="Q427" t="s">
        <v>5</v>
      </c>
    </row>
    <row r="428" spans="1:17" x14ac:dyDescent="0.25">
      <c r="A428" t="s">
        <v>392</v>
      </c>
      <c r="B428" t="s">
        <v>523</v>
      </c>
      <c r="C428" t="s">
        <v>524</v>
      </c>
      <c r="D428" t="str">
        <f t="shared" si="0"/>
        <v>K11</v>
      </c>
      <c r="E428" t="str">
        <f t="shared" si="1"/>
        <v>KT3.5Y</v>
      </c>
      <c r="F428">
        <v>2025</v>
      </c>
      <c r="G428">
        <v>1</v>
      </c>
      <c r="H428" t="s">
        <v>291</v>
      </c>
      <c r="I428" t="s">
        <v>292</v>
      </c>
      <c r="J428">
        <v>3</v>
      </c>
      <c r="N428" t="s">
        <v>293</v>
      </c>
      <c r="Q428" t="s">
        <v>5</v>
      </c>
    </row>
    <row r="429" spans="1:17" x14ac:dyDescent="0.25">
      <c r="A429" t="s">
        <v>392</v>
      </c>
      <c r="B429" t="s">
        <v>523</v>
      </c>
      <c r="C429" t="s">
        <v>524</v>
      </c>
      <c r="D429" t="str">
        <f t="shared" si="0"/>
        <v>K11</v>
      </c>
      <c r="E429" t="str">
        <f t="shared" si="1"/>
        <v>KT3.5Y</v>
      </c>
      <c r="F429">
        <v>2025</v>
      </c>
      <c r="G429">
        <v>1</v>
      </c>
      <c r="H429" t="s">
        <v>300</v>
      </c>
      <c r="I429" t="s">
        <v>66</v>
      </c>
      <c r="J429">
        <v>3</v>
      </c>
      <c r="N429" t="s">
        <v>301</v>
      </c>
      <c r="Q429" t="s">
        <v>5</v>
      </c>
    </row>
    <row r="430" spans="1:17" x14ac:dyDescent="0.25">
      <c r="A430" t="s">
        <v>392</v>
      </c>
      <c r="B430" t="s">
        <v>523</v>
      </c>
      <c r="C430" t="s">
        <v>524</v>
      </c>
      <c r="D430" t="str">
        <f t="shared" si="0"/>
        <v>K11</v>
      </c>
      <c r="E430" t="str">
        <f t="shared" si="1"/>
        <v>KT3.5Y</v>
      </c>
      <c r="F430">
        <v>2025</v>
      </c>
      <c r="G430">
        <v>1</v>
      </c>
      <c r="H430" t="s">
        <v>302</v>
      </c>
      <c r="I430" t="s">
        <v>43</v>
      </c>
      <c r="J430">
        <v>2</v>
      </c>
      <c r="N430" t="s">
        <v>287</v>
      </c>
      <c r="Q430" t="s">
        <v>5</v>
      </c>
    </row>
    <row r="431" spans="1:17" x14ac:dyDescent="0.25">
      <c r="A431" t="s">
        <v>392</v>
      </c>
      <c r="B431" t="s">
        <v>523</v>
      </c>
      <c r="C431" t="s">
        <v>524</v>
      </c>
      <c r="D431" t="str">
        <f t="shared" si="0"/>
        <v>K11</v>
      </c>
      <c r="E431" t="str">
        <f t="shared" si="1"/>
        <v>KT3.5Y</v>
      </c>
      <c r="F431">
        <v>2025</v>
      </c>
      <c r="G431">
        <v>1</v>
      </c>
      <c r="H431" t="s">
        <v>303</v>
      </c>
      <c r="I431" t="s">
        <v>23</v>
      </c>
      <c r="J431">
        <v>2</v>
      </c>
      <c r="N431" t="s">
        <v>287</v>
      </c>
      <c r="Q431" t="s">
        <v>5</v>
      </c>
    </row>
    <row r="432" spans="1:17" x14ac:dyDescent="0.25">
      <c r="A432" t="s">
        <v>392</v>
      </c>
      <c r="B432" t="s">
        <v>523</v>
      </c>
      <c r="C432" t="s">
        <v>524</v>
      </c>
      <c r="D432" t="str">
        <f t="shared" si="0"/>
        <v>K11</v>
      </c>
      <c r="E432" t="str">
        <f t="shared" si="1"/>
        <v>KT3.5Y</v>
      </c>
      <c r="F432">
        <v>2025</v>
      </c>
      <c r="G432">
        <v>1</v>
      </c>
      <c r="H432" t="s">
        <v>304</v>
      </c>
      <c r="I432" t="s">
        <v>39</v>
      </c>
      <c r="J432">
        <v>3</v>
      </c>
      <c r="Q432" t="s">
        <v>5</v>
      </c>
    </row>
    <row r="433" spans="1:17" x14ac:dyDescent="0.25">
      <c r="A433" t="s">
        <v>594</v>
      </c>
      <c r="B433" t="s">
        <v>525</v>
      </c>
      <c r="C433" t="s">
        <v>526</v>
      </c>
      <c r="D433" t="str">
        <f t="shared" si="0"/>
        <v>K11</v>
      </c>
      <c r="E433" t="str">
        <f t="shared" si="1"/>
        <v>NHTCQT3.5Y</v>
      </c>
      <c r="F433">
        <v>2025</v>
      </c>
      <c r="G433">
        <v>1</v>
      </c>
      <c r="H433" t="s">
        <v>377</v>
      </c>
      <c r="I433" t="s">
        <v>264</v>
      </c>
      <c r="J433">
        <v>3</v>
      </c>
      <c r="N433" t="s">
        <v>293</v>
      </c>
      <c r="Q433" t="s">
        <v>5</v>
      </c>
    </row>
    <row r="434" spans="1:17" x14ac:dyDescent="0.25">
      <c r="A434" t="s">
        <v>594</v>
      </c>
      <c r="B434" t="s">
        <v>525</v>
      </c>
      <c r="C434" t="s">
        <v>526</v>
      </c>
      <c r="D434" t="str">
        <f t="shared" si="0"/>
        <v>K11</v>
      </c>
      <c r="E434" t="str">
        <f t="shared" si="1"/>
        <v>NHTCQT3.5Y</v>
      </c>
      <c r="F434">
        <v>2025</v>
      </c>
      <c r="G434">
        <v>1</v>
      </c>
      <c r="H434" t="s">
        <v>304</v>
      </c>
      <c r="I434" t="s">
        <v>39</v>
      </c>
      <c r="J434">
        <v>3</v>
      </c>
      <c r="Q434" t="s">
        <v>5</v>
      </c>
    </row>
    <row r="435" spans="1:17" x14ac:dyDescent="0.25">
      <c r="A435" t="s">
        <v>594</v>
      </c>
      <c r="B435" t="s">
        <v>525</v>
      </c>
      <c r="C435" t="s">
        <v>526</v>
      </c>
      <c r="D435" t="str">
        <f t="shared" si="0"/>
        <v>K11</v>
      </c>
      <c r="E435" t="str">
        <f t="shared" si="1"/>
        <v>NHTCQT3.5Y</v>
      </c>
      <c r="F435">
        <v>2025</v>
      </c>
      <c r="G435">
        <v>1</v>
      </c>
      <c r="H435" t="s">
        <v>330</v>
      </c>
      <c r="I435" t="s">
        <v>115</v>
      </c>
      <c r="J435">
        <v>3</v>
      </c>
      <c r="N435" t="s">
        <v>293</v>
      </c>
      <c r="Q435" t="s">
        <v>5</v>
      </c>
    </row>
    <row r="436" spans="1:17" x14ac:dyDescent="0.25">
      <c r="A436" t="s">
        <v>594</v>
      </c>
      <c r="B436" t="s">
        <v>525</v>
      </c>
      <c r="C436" t="s">
        <v>526</v>
      </c>
      <c r="D436" t="str">
        <f t="shared" si="0"/>
        <v>K11</v>
      </c>
      <c r="E436" t="str">
        <f t="shared" si="1"/>
        <v>NHTCQT3.5Y</v>
      </c>
      <c r="F436">
        <v>2025</v>
      </c>
      <c r="G436">
        <v>1</v>
      </c>
      <c r="H436" t="s">
        <v>294</v>
      </c>
      <c r="I436" t="s">
        <v>107</v>
      </c>
      <c r="J436">
        <v>3</v>
      </c>
      <c r="N436" t="s">
        <v>293</v>
      </c>
      <c r="Q436" t="s">
        <v>5</v>
      </c>
    </row>
    <row r="437" spans="1:17" x14ac:dyDescent="0.25">
      <c r="A437" t="s">
        <v>594</v>
      </c>
      <c r="B437" t="s">
        <v>525</v>
      </c>
      <c r="C437" t="s">
        <v>526</v>
      </c>
      <c r="D437" t="str">
        <f t="shared" si="0"/>
        <v>K11</v>
      </c>
      <c r="E437" t="str">
        <f t="shared" si="1"/>
        <v>NHTCQT3.5Y</v>
      </c>
      <c r="F437">
        <v>2025</v>
      </c>
      <c r="G437">
        <v>1</v>
      </c>
      <c r="H437" t="s">
        <v>378</v>
      </c>
      <c r="I437" t="s">
        <v>379</v>
      </c>
      <c r="J437">
        <v>3</v>
      </c>
      <c r="N437" t="s">
        <v>293</v>
      </c>
      <c r="Q437" t="s">
        <v>5</v>
      </c>
    </row>
    <row r="438" spans="1:17" x14ac:dyDescent="0.25">
      <c r="A438" t="s">
        <v>594</v>
      </c>
      <c r="B438" t="s">
        <v>525</v>
      </c>
      <c r="C438" t="s">
        <v>526</v>
      </c>
      <c r="D438" t="str">
        <f t="shared" si="0"/>
        <v>K11</v>
      </c>
      <c r="E438" t="str">
        <f t="shared" si="1"/>
        <v>NHTCQT3.5Y</v>
      </c>
      <c r="F438">
        <v>2025</v>
      </c>
      <c r="G438">
        <v>1</v>
      </c>
      <c r="H438" t="s">
        <v>376</v>
      </c>
      <c r="I438" t="s">
        <v>266</v>
      </c>
      <c r="J438">
        <v>3</v>
      </c>
      <c r="K438" t="s">
        <v>92</v>
      </c>
    </row>
    <row r="439" spans="1:17" x14ac:dyDescent="0.25">
      <c r="A439" t="s">
        <v>594</v>
      </c>
      <c r="B439" t="s">
        <v>525</v>
      </c>
      <c r="C439" t="s">
        <v>526</v>
      </c>
      <c r="D439" t="str">
        <f t="shared" si="0"/>
        <v>K11</v>
      </c>
      <c r="E439" t="str">
        <f t="shared" si="1"/>
        <v>NHTCQT3.5Y</v>
      </c>
      <c r="F439">
        <v>2025</v>
      </c>
      <c r="G439">
        <v>1</v>
      </c>
      <c r="H439" t="s">
        <v>387</v>
      </c>
      <c r="I439" t="s">
        <v>188</v>
      </c>
      <c r="J439">
        <v>3</v>
      </c>
      <c r="K439" t="s">
        <v>93</v>
      </c>
      <c r="N439" t="s">
        <v>305</v>
      </c>
      <c r="Q439" t="s">
        <v>5</v>
      </c>
    </row>
    <row r="440" spans="1:17" x14ac:dyDescent="0.25">
      <c r="A440" t="s">
        <v>594</v>
      </c>
      <c r="B440" t="s">
        <v>525</v>
      </c>
      <c r="C440" t="s">
        <v>526</v>
      </c>
      <c r="D440" t="str">
        <f t="shared" si="0"/>
        <v>K11</v>
      </c>
      <c r="E440" t="str">
        <f t="shared" si="1"/>
        <v>NHTCQT3.5Y</v>
      </c>
      <c r="F440">
        <v>2025</v>
      </c>
      <c r="G440">
        <v>1</v>
      </c>
      <c r="H440" t="s">
        <v>388</v>
      </c>
      <c r="I440" t="s">
        <v>389</v>
      </c>
      <c r="J440">
        <v>3</v>
      </c>
      <c r="K440" t="s">
        <v>93</v>
      </c>
      <c r="N440" t="s">
        <v>305</v>
      </c>
    </row>
    <row r="441" spans="1:17" x14ac:dyDescent="0.25">
      <c r="A441" t="s">
        <v>594</v>
      </c>
      <c r="B441" t="s">
        <v>525</v>
      </c>
      <c r="C441" t="s">
        <v>526</v>
      </c>
      <c r="D441" t="str">
        <f t="shared" si="0"/>
        <v>K11</v>
      </c>
      <c r="E441" t="str">
        <f t="shared" si="1"/>
        <v>NHTCQT3.5Y</v>
      </c>
      <c r="F441">
        <v>2025</v>
      </c>
      <c r="G441">
        <v>1</v>
      </c>
      <c r="H441" t="s">
        <v>390</v>
      </c>
      <c r="I441" t="s">
        <v>180</v>
      </c>
      <c r="J441">
        <v>3</v>
      </c>
      <c r="K441" t="s">
        <v>93</v>
      </c>
    </row>
    <row r="442" spans="1:17" x14ac:dyDescent="0.25">
      <c r="A442" t="s">
        <v>594</v>
      </c>
      <c r="B442" t="s">
        <v>525</v>
      </c>
      <c r="C442" t="s">
        <v>526</v>
      </c>
      <c r="D442" t="str">
        <f t="shared" si="0"/>
        <v>K11</v>
      </c>
      <c r="E442" t="str">
        <f t="shared" si="1"/>
        <v>NHTCQT3.5Y</v>
      </c>
      <c r="F442">
        <v>2025</v>
      </c>
      <c r="G442">
        <v>1</v>
      </c>
      <c r="H442" t="s">
        <v>385</v>
      </c>
      <c r="I442" t="s">
        <v>51</v>
      </c>
      <c r="J442">
        <v>3</v>
      </c>
      <c r="K442" t="s">
        <v>93</v>
      </c>
      <c r="N442" t="s">
        <v>293</v>
      </c>
    </row>
    <row r="443" spans="1:17" x14ac:dyDescent="0.25">
      <c r="A443" t="s">
        <v>594</v>
      </c>
      <c r="B443" t="s">
        <v>525</v>
      </c>
      <c r="C443" t="s">
        <v>526</v>
      </c>
      <c r="D443" t="str">
        <f t="shared" si="0"/>
        <v>K11</v>
      </c>
      <c r="E443" t="str">
        <f t="shared" si="1"/>
        <v>NHTCQT3.5Y</v>
      </c>
      <c r="F443">
        <v>2025</v>
      </c>
      <c r="G443">
        <v>1</v>
      </c>
      <c r="H443" t="s">
        <v>288</v>
      </c>
      <c r="I443" t="s">
        <v>227</v>
      </c>
      <c r="J443">
        <v>3</v>
      </c>
      <c r="K443" t="s">
        <v>92</v>
      </c>
      <c r="Q443" t="s">
        <v>5</v>
      </c>
    </row>
    <row r="444" spans="1:17" x14ac:dyDescent="0.25">
      <c r="A444" t="s">
        <v>393</v>
      </c>
      <c r="B444" t="s">
        <v>527</v>
      </c>
      <c r="C444" t="s">
        <v>528</v>
      </c>
      <c r="D444" t="str">
        <f t="shared" si="0"/>
        <v>K11</v>
      </c>
      <c r="E444" t="str">
        <f t="shared" si="1"/>
        <v>NH3.5Y</v>
      </c>
      <c r="F444">
        <v>2025</v>
      </c>
      <c r="G444">
        <v>1</v>
      </c>
      <c r="H444" t="s">
        <v>289</v>
      </c>
      <c r="I444" t="s">
        <v>131</v>
      </c>
      <c r="J444">
        <v>3</v>
      </c>
      <c r="N444" t="s">
        <v>290</v>
      </c>
      <c r="Q444" t="s">
        <v>5</v>
      </c>
    </row>
    <row r="445" spans="1:17" x14ac:dyDescent="0.25">
      <c r="A445" t="s">
        <v>393</v>
      </c>
      <c r="B445" t="s">
        <v>527</v>
      </c>
      <c r="C445" t="s">
        <v>528</v>
      </c>
      <c r="D445" t="str">
        <f t="shared" si="0"/>
        <v>K11</v>
      </c>
      <c r="E445" t="str">
        <f t="shared" si="1"/>
        <v>NH3.5Y</v>
      </c>
      <c r="F445">
        <v>2025</v>
      </c>
      <c r="G445">
        <v>1</v>
      </c>
      <c r="H445" t="s">
        <v>304</v>
      </c>
      <c r="I445" t="s">
        <v>39</v>
      </c>
      <c r="J445">
        <v>3</v>
      </c>
      <c r="Q445" t="s">
        <v>5</v>
      </c>
    </row>
    <row r="446" spans="1:17" x14ac:dyDescent="0.25">
      <c r="A446" t="s">
        <v>393</v>
      </c>
      <c r="B446" t="s">
        <v>527</v>
      </c>
      <c r="C446" t="s">
        <v>528</v>
      </c>
      <c r="D446" t="str">
        <f t="shared" si="0"/>
        <v>K11</v>
      </c>
      <c r="E446" t="str">
        <f t="shared" si="1"/>
        <v>NH3.5Y</v>
      </c>
      <c r="F446">
        <v>2025</v>
      </c>
      <c r="G446">
        <v>1</v>
      </c>
      <c r="H446" t="s">
        <v>330</v>
      </c>
      <c r="I446" t="s">
        <v>115</v>
      </c>
      <c r="J446">
        <v>3</v>
      </c>
      <c r="N446" t="s">
        <v>293</v>
      </c>
      <c r="Q446" t="s">
        <v>5</v>
      </c>
    </row>
    <row r="447" spans="1:17" x14ac:dyDescent="0.25">
      <c r="A447" t="s">
        <v>393</v>
      </c>
      <c r="B447" t="s">
        <v>527</v>
      </c>
      <c r="C447" t="s">
        <v>528</v>
      </c>
      <c r="D447" t="str">
        <f t="shared" si="0"/>
        <v>K11</v>
      </c>
      <c r="E447" t="str">
        <f t="shared" si="1"/>
        <v>NH3.5Y</v>
      </c>
      <c r="F447">
        <v>2025</v>
      </c>
      <c r="G447">
        <v>1</v>
      </c>
      <c r="H447" t="s">
        <v>378</v>
      </c>
      <c r="I447" t="s">
        <v>379</v>
      </c>
      <c r="J447">
        <v>3</v>
      </c>
      <c r="N447" t="s">
        <v>293</v>
      </c>
      <c r="Q447" t="s">
        <v>5</v>
      </c>
    </row>
    <row r="448" spans="1:17" x14ac:dyDescent="0.25">
      <c r="A448" t="s">
        <v>393</v>
      </c>
      <c r="B448" t="s">
        <v>527</v>
      </c>
      <c r="C448" t="s">
        <v>528</v>
      </c>
      <c r="D448" t="str">
        <f t="shared" si="0"/>
        <v>K11</v>
      </c>
      <c r="E448" t="str">
        <f t="shared" si="1"/>
        <v>NH3.5Y</v>
      </c>
      <c r="F448">
        <v>2025</v>
      </c>
      <c r="G448">
        <v>1</v>
      </c>
      <c r="H448" t="s">
        <v>335</v>
      </c>
      <c r="I448" t="s">
        <v>194</v>
      </c>
      <c r="J448">
        <v>3</v>
      </c>
      <c r="K448" t="s">
        <v>67</v>
      </c>
      <c r="Q448" t="s">
        <v>5</v>
      </c>
    </row>
    <row r="449" spans="1:17" x14ac:dyDescent="0.25">
      <c r="A449" t="s">
        <v>393</v>
      </c>
      <c r="B449" t="s">
        <v>527</v>
      </c>
      <c r="C449" t="s">
        <v>528</v>
      </c>
      <c r="D449" t="str">
        <f t="shared" si="0"/>
        <v>K11</v>
      </c>
      <c r="E449" t="str">
        <f t="shared" si="1"/>
        <v>NH3.5Y</v>
      </c>
      <c r="F449">
        <v>2025</v>
      </c>
      <c r="G449">
        <v>1</v>
      </c>
      <c r="H449" t="s">
        <v>385</v>
      </c>
      <c r="I449" t="s">
        <v>51</v>
      </c>
      <c r="J449">
        <v>3</v>
      </c>
      <c r="K449" t="s">
        <v>67</v>
      </c>
      <c r="N449" t="s">
        <v>293</v>
      </c>
    </row>
    <row r="450" spans="1:17" x14ac:dyDescent="0.25">
      <c r="A450" t="s">
        <v>393</v>
      </c>
      <c r="B450" t="s">
        <v>527</v>
      </c>
      <c r="C450" t="s">
        <v>528</v>
      </c>
      <c r="D450" t="str">
        <f t="shared" si="0"/>
        <v>K11</v>
      </c>
      <c r="E450" t="str">
        <f t="shared" si="1"/>
        <v>NH3.5Y</v>
      </c>
      <c r="F450">
        <v>2025</v>
      </c>
      <c r="G450">
        <v>1</v>
      </c>
      <c r="H450" t="s">
        <v>288</v>
      </c>
      <c r="I450" t="s">
        <v>227</v>
      </c>
      <c r="J450">
        <v>3</v>
      </c>
      <c r="K450" t="s">
        <v>381</v>
      </c>
      <c r="Q450" t="s">
        <v>5</v>
      </c>
    </row>
    <row r="451" spans="1:17" x14ac:dyDescent="0.25">
      <c r="A451" t="s">
        <v>393</v>
      </c>
      <c r="B451" t="s">
        <v>527</v>
      </c>
      <c r="C451" t="s">
        <v>528</v>
      </c>
      <c r="D451" t="str">
        <f t="shared" si="0"/>
        <v>K11</v>
      </c>
      <c r="E451" t="str">
        <f t="shared" si="1"/>
        <v>NH3.5Y</v>
      </c>
      <c r="F451">
        <v>2025</v>
      </c>
      <c r="G451">
        <v>1</v>
      </c>
      <c r="H451" t="s">
        <v>376</v>
      </c>
      <c r="I451" t="s">
        <v>266</v>
      </c>
      <c r="J451">
        <v>3</v>
      </c>
      <c r="K451" t="s">
        <v>381</v>
      </c>
      <c r="N451" t="s">
        <v>380</v>
      </c>
    </row>
    <row r="452" spans="1:17" x14ac:dyDescent="0.25">
      <c r="A452" t="s">
        <v>393</v>
      </c>
      <c r="B452" t="s">
        <v>527</v>
      </c>
      <c r="C452" t="s">
        <v>528</v>
      </c>
      <c r="D452" t="str">
        <f t="shared" si="0"/>
        <v>K11</v>
      </c>
      <c r="E452" t="str">
        <f t="shared" si="1"/>
        <v>NH3.5Y</v>
      </c>
      <c r="F452">
        <v>2025</v>
      </c>
      <c r="G452">
        <v>1</v>
      </c>
      <c r="H452" t="s">
        <v>384</v>
      </c>
      <c r="I452" t="s">
        <v>123</v>
      </c>
      <c r="J452">
        <v>3</v>
      </c>
      <c r="K452" t="s">
        <v>67</v>
      </c>
    </row>
    <row r="453" spans="1:17" x14ac:dyDescent="0.25">
      <c r="A453" t="s">
        <v>394</v>
      </c>
      <c r="B453" t="s">
        <v>529</v>
      </c>
      <c r="C453" t="s">
        <v>530</v>
      </c>
      <c r="D453" t="str">
        <f t="shared" si="0"/>
        <v>K11</v>
      </c>
      <c r="E453" t="str">
        <f t="shared" si="1"/>
        <v>QTKD3.5Y</v>
      </c>
      <c r="F453">
        <v>2025</v>
      </c>
      <c r="G453">
        <v>1</v>
      </c>
      <c r="H453" t="s">
        <v>348</v>
      </c>
      <c r="I453" t="s">
        <v>51</v>
      </c>
      <c r="J453">
        <v>3</v>
      </c>
      <c r="N453" t="s">
        <v>299</v>
      </c>
      <c r="Q453" t="s">
        <v>5</v>
      </c>
    </row>
    <row r="454" spans="1:17" x14ac:dyDescent="0.25">
      <c r="A454" t="s">
        <v>394</v>
      </c>
      <c r="B454" t="s">
        <v>529</v>
      </c>
      <c r="C454" t="s">
        <v>530</v>
      </c>
      <c r="D454" t="str">
        <f t="shared" si="0"/>
        <v>K11</v>
      </c>
      <c r="E454" t="str">
        <f t="shared" si="1"/>
        <v>QTKD3.5Y</v>
      </c>
      <c r="F454">
        <v>2025</v>
      </c>
      <c r="G454">
        <v>1</v>
      </c>
      <c r="H454" t="s">
        <v>349</v>
      </c>
      <c r="I454" t="s">
        <v>102</v>
      </c>
      <c r="J454">
        <v>3</v>
      </c>
      <c r="N454" t="s">
        <v>299</v>
      </c>
      <c r="Q454" t="s">
        <v>5</v>
      </c>
    </row>
    <row r="455" spans="1:17" x14ac:dyDescent="0.25">
      <c r="A455" t="s">
        <v>394</v>
      </c>
      <c r="B455" t="s">
        <v>529</v>
      </c>
      <c r="C455" t="s">
        <v>530</v>
      </c>
      <c r="D455" t="str">
        <f t="shared" si="0"/>
        <v>K11</v>
      </c>
      <c r="E455" t="str">
        <f t="shared" si="1"/>
        <v>QTKD3.5Y</v>
      </c>
      <c r="F455">
        <v>2025</v>
      </c>
      <c r="G455">
        <v>1</v>
      </c>
      <c r="H455" t="s">
        <v>350</v>
      </c>
      <c r="I455" t="s">
        <v>109</v>
      </c>
      <c r="J455">
        <v>3</v>
      </c>
      <c r="N455" t="s">
        <v>299</v>
      </c>
      <c r="Q455" t="s">
        <v>5</v>
      </c>
    </row>
    <row r="456" spans="1:17" x14ac:dyDescent="0.25">
      <c r="A456" t="s">
        <v>394</v>
      </c>
      <c r="B456" t="s">
        <v>529</v>
      </c>
      <c r="C456" t="s">
        <v>530</v>
      </c>
      <c r="D456" t="str">
        <f t="shared" si="0"/>
        <v>K11</v>
      </c>
      <c r="E456" t="str">
        <f t="shared" si="1"/>
        <v>QTKD3.5Y</v>
      </c>
      <c r="F456">
        <v>2025</v>
      </c>
      <c r="G456">
        <v>1</v>
      </c>
      <c r="H456" t="s">
        <v>294</v>
      </c>
      <c r="I456" t="s">
        <v>107</v>
      </c>
      <c r="J456">
        <v>3</v>
      </c>
      <c r="N456" t="s">
        <v>293</v>
      </c>
      <c r="Q456" t="s">
        <v>5</v>
      </c>
    </row>
    <row r="457" spans="1:17" x14ac:dyDescent="0.25">
      <c r="A457" t="s">
        <v>394</v>
      </c>
      <c r="B457" t="s">
        <v>529</v>
      </c>
      <c r="C457" t="s">
        <v>530</v>
      </c>
      <c r="D457" t="str">
        <f t="shared" si="0"/>
        <v>K11</v>
      </c>
      <c r="E457" t="str">
        <f t="shared" si="1"/>
        <v>QTKD3.5Y</v>
      </c>
      <c r="F457">
        <v>2025</v>
      </c>
      <c r="G457">
        <v>1</v>
      </c>
      <c r="H457" t="s">
        <v>319</v>
      </c>
      <c r="I457" t="s">
        <v>245</v>
      </c>
      <c r="J457">
        <v>3</v>
      </c>
      <c r="N457" t="s">
        <v>380</v>
      </c>
      <c r="Q457" t="s">
        <v>5</v>
      </c>
    </row>
    <row r="458" spans="1:17" x14ac:dyDescent="0.25">
      <c r="A458" t="s">
        <v>394</v>
      </c>
      <c r="B458" t="s">
        <v>529</v>
      </c>
      <c r="C458" t="s">
        <v>530</v>
      </c>
      <c r="D458" t="str">
        <f t="shared" si="0"/>
        <v>K11</v>
      </c>
      <c r="E458" t="str">
        <f t="shared" si="1"/>
        <v>QTKD3.5Y</v>
      </c>
      <c r="F458">
        <v>2025</v>
      </c>
      <c r="G458">
        <v>1</v>
      </c>
      <c r="H458" t="s">
        <v>304</v>
      </c>
      <c r="I458" t="s">
        <v>39</v>
      </c>
      <c r="J458">
        <v>3</v>
      </c>
      <c r="Q458" t="s">
        <v>5</v>
      </c>
    </row>
    <row r="459" spans="1:17" x14ac:dyDescent="0.25">
      <c r="A459" t="s">
        <v>395</v>
      </c>
      <c r="B459" t="s">
        <v>531</v>
      </c>
      <c r="C459" t="s">
        <v>532</v>
      </c>
      <c r="D459" t="str">
        <f t="shared" si="0"/>
        <v>K11</v>
      </c>
      <c r="E459" t="str">
        <f t="shared" si="1"/>
        <v>TC3.5Y</v>
      </c>
      <c r="F459">
        <v>2025</v>
      </c>
      <c r="G459">
        <v>1</v>
      </c>
      <c r="H459" t="s">
        <v>289</v>
      </c>
      <c r="I459" t="s">
        <v>131</v>
      </c>
      <c r="J459">
        <v>3</v>
      </c>
      <c r="N459" t="s">
        <v>290</v>
      </c>
      <c r="Q459" t="s">
        <v>5</v>
      </c>
    </row>
    <row r="460" spans="1:17" x14ac:dyDescent="0.25">
      <c r="A460" t="s">
        <v>395</v>
      </c>
      <c r="B460" t="s">
        <v>531</v>
      </c>
      <c r="C460" t="s">
        <v>532</v>
      </c>
      <c r="D460" t="str">
        <f t="shared" si="0"/>
        <v>K11</v>
      </c>
      <c r="E460" t="str">
        <f t="shared" si="1"/>
        <v>TC3.5Y</v>
      </c>
      <c r="F460">
        <v>2025</v>
      </c>
      <c r="G460">
        <v>1</v>
      </c>
      <c r="H460" t="s">
        <v>304</v>
      </c>
      <c r="I460" t="s">
        <v>39</v>
      </c>
      <c r="J460">
        <v>3</v>
      </c>
      <c r="Q460" t="s">
        <v>5</v>
      </c>
    </row>
    <row r="461" spans="1:17" x14ac:dyDescent="0.25">
      <c r="A461" t="s">
        <v>395</v>
      </c>
      <c r="B461" t="s">
        <v>531</v>
      </c>
      <c r="C461" t="s">
        <v>532</v>
      </c>
      <c r="D461" t="str">
        <f t="shared" si="0"/>
        <v>K11</v>
      </c>
      <c r="E461" t="str">
        <f t="shared" si="1"/>
        <v>TC3.5Y</v>
      </c>
      <c r="F461">
        <v>2025</v>
      </c>
      <c r="G461">
        <v>1</v>
      </c>
      <c r="H461" t="s">
        <v>330</v>
      </c>
      <c r="I461" t="s">
        <v>115</v>
      </c>
      <c r="J461">
        <v>3</v>
      </c>
      <c r="N461" t="s">
        <v>293</v>
      </c>
      <c r="Q461" t="s">
        <v>5</v>
      </c>
    </row>
    <row r="462" spans="1:17" x14ac:dyDescent="0.25">
      <c r="A462" t="s">
        <v>395</v>
      </c>
      <c r="B462" t="s">
        <v>531</v>
      </c>
      <c r="C462" t="s">
        <v>532</v>
      </c>
      <c r="D462" t="str">
        <f t="shared" si="0"/>
        <v>K11</v>
      </c>
      <c r="E462" t="str">
        <f t="shared" si="1"/>
        <v>TC3.5Y</v>
      </c>
      <c r="F462">
        <v>2025</v>
      </c>
      <c r="G462">
        <v>1</v>
      </c>
      <c r="H462" t="s">
        <v>294</v>
      </c>
      <c r="I462" t="s">
        <v>107</v>
      </c>
      <c r="J462">
        <v>3</v>
      </c>
      <c r="N462" t="s">
        <v>293</v>
      </c>
      <c r="Q462" t="s">
        <v>5</v>
      </c>
    </row>
    <row r="463" spans="1:17" x14ac:dyDescent="0.25">
      <c r="A463" t="s">
        <v>395</v>
      </c>
      <c r="B463" t="s">
        <v>531</v>
      </c>
      <c r="C463" t="s">
        <v>532</v>
      </c>
      <c r="D463" t="str">
        <f t="shared" si="0"/>
        <v>K11</v>
      </c>
      <c r="E463" t="str">
        <f t="shared" si="1"/>
        <v>TC3.5Y</v>
      </c>
      <c r="F463">
        <v>2025</v>
      </c>
      <c r="G463">
        <v>1</v>
      </c>
      <c r="H463" t="s">
        <v>302</v>
      </c>
      <c r="I463" t="s">
        <v>43</v>
      </c>
      <c r="J463">
        <v>2</v>
      </c>
      <c r="N463" t="s">
        <v>287</v>
      </c>
      <c r="Q463" t="s">
        <v>5</v>
      </c>
    </row>
    <row r="464" spans="1:17" x14ac:dyDescent="0.25">
      <c r="A464" t="s">
        <v>395</v>
      </c>
      <c r="B464" t="s">
        <v>531</v>
      </c>
      <c r="C464" t="s">
        <v>532</v>
      </c>
      <c r="D464" t="str">
        <f t="shared" si="0"/>
        <v>K11</v>
      </c>
      <c r="E464" t="str">
        <f t="shared" si="1"/>
        <v>TC3.5Y</v>
      </c>
      <c r="F464">
        <v>2025</v>
      </c>
      <c r="G464">
        <v>1</v>
      </c>
      <c r="H464" t="s">
        <v>303</v>
      </c>
      <c r="I464" t="s">
        <v>23</v>
      </c>
      <c r="J464">
        <v>2</v>
      </c>
      <c r="N464" t="s">
        <v>287</v>
      </c>
      <c r="Q464" t="s">
        <v>5</v>
      </c>
    </row>
    <row r="465" spans="1:16" x14ac:dyDescent="0.25">
      <c r="A465" t="s">
        <v>105</v>
      </c>
      <c r="B465" t="s">
        <v>506</v>
      </c>
      <c r="C465" t="s">
        <v>507</v>
      </c>
      <c r="D465" t="str">
        <f t="shared" si="0"/>
        <v>K11</v>
      </c>
      <c r="E465" t="str">
        <f t="shared" si="1"/>
        <v>KDQT</v>
      </c>
      <c r="F465">
        <v>2025</v>
      </c>
      <c r="G465">
        <v>1</v>
      </c>
      <c r="H465" t="s">
        <v>282</v>
      </c>
      <c r="I465" t="s">
        <v>25</v>
      </c>
      <c r="P465" t="s">
        <v>5</v>
      </c>
    </row>
    <row r="466" spans="1:16" x14ac:dyDescent="0.25">
      <c r="A466" t="s">
        <v>105</v>
      </c>
      <c r="B466" t="s">
        <v>506</v>
      </c>
      <c r="C466" t="s">
        <v>507</v>
      </c>
      <c r="D466" t="str">
        <f t="shared" si="0"/>
        <v>K11</v>
      </c>
      <c r="E466" t="str">
        <f t="shared" si="1"/>
        <v>KDQT</v>
      </c>
      <c r="F466">
        <v>2025</v>
      </c>
      <c r="G466">
        <v>1</v>
      </c>
      <c r="H466" t="s">
        <v>372</v>
      </c>
      <c r="I466" t="s">
        <v>108</v>
      </c>
      <c r="P466" t="s">
        <v>5</v>
      </c>
    </row>
    <row r="467" spans="1:16" x14ac:dyDescent="0.25">
      <c r="A467" t="s">
        <v>105</v>
      </c>
      <c r="B467" t="s">
        <v>506</v>
      </c>
      <c r="C467" t="s">
        <v>507</v>
      </c>
      <c r="D467" t="str">
        <f t="shared" si="0"/>
        <v>K11</v>
      </c>
      <c r="E467" t="str">
        <f t="shared" si="1"/>
        <v>KDQT</v>
      </c>
      <c r="F467">
        <v>2025</v>
      </c>
      <c r="G467">
        <v>1</v>
      </c>
      <c r="H467" t="s">
        <v>294</v>
      </c>
      <c r="I467" t="s">
        <v>107</v>
      </c>
      <c r="M467" t="s">
        <v>293</v>
      </c>
      <c r="P467" t="s">
        <v>5</v>
      </c>
    </row>
    <row r="468" spans="1:16" x14ac:dyDescent="0.25">
      <c r="A468" t="s">
        <v>105</v>
      </c>
      <c r="B468" t="s">
        <v>506</v>
      </c>
      <c r="C468" t="s">
        <v>507</v>
      </c>
      <c r="D468" t="str">
        <f t="shared" si="0"/>
        <v>K11</v>
      </c>
      <c r="E468" t="str">
        <f t="shared" si="1"/>
        <v>KDQT</v>
      </c>
      <c r="F468">
        <v>2025</v>
      </c>
      <c r="G468">
        <v>1</v>
      </c>
      <c r="H468" t="s">
        <v>295</v>
      </c>
      <c r="I468" t="s">
        <v>29</v>
      </c>
      <c r="M468" t="s">
        <v>296</v>
      </c>
      <c r="P468" t="s">
        <v>5</v>
      </c>
    </row>
    <row r="469" spans="1:16" x14ac:dyDescent="0.25">
      <c r="A469" t="s">
        <v>105</v>
      </c>
      <c r="B469" t="s">
        <v>506</v>
      </c>
      <c r="C469" t="s">
        <v>507</v>
      </c>
      <c r="D469" t="str">
        <f t="shared" si="0"/>
        <v>K11</v>
      </c>
      <c r="E469" t="str">
        <f t="shared" si="1"/>
        <v>KDQT</v>
      </c>
      <c r="F469">
        <v>2025</v>
      </c>
      <c r="G469">
        <v>1</v>
      </c>
      <c r="H469" t="s">
        <v>373</v>
      </c>
      <c r="I469" t="s">
        <v>20</v>
      </c>
      <c r="P469" t="s">
        <v>5</v>
      </c>
    </row>
    <row r="470" spans="1:16" x14ac:dyDescent="0.25">
      <c r="A470" t="s">
        <v>105</v>
      </c>
      <c r="B470" t="s">
        <v>506</v>
      </c>
      <c r="C470" t="s">
        <v>507</v>
      </c>
      <c r="D470" t="str">
        <f t="shared" si="0"/>
        <v>K11</v>
      </c>
      <c r="E470" t="str">
        <f t="shared" si="1"/>
        <v>KDQT</v>
      </c>
      <c r="F470">
        <v>2025</v>
      </c>
      <c r="G470">
        <v>1</v>
      </c>
      <c r="H470" t="s">
        <v>286</v>
      </c>
      <c r="I470" t="s">
        <v>35</v>
      </c>
      <c r="M470" t="s">
        <v>287</v>
      </c>
      <c r="P470" t="s">
        <v>5</v>
      </c>
    </row>
    <row r="471" spans="1:16" x14ac:dyDescent="0.25">
      <c r="A471" t="s">
        <v>595</v>
      </c>
      <c r="B471" t="s">
        <v>396</v>
      </c>
      <c r="C471" t="s">
        <v>508</v>
      </c>
      <c r="D471" t="str">
        <f t="shared" si="0"/>
        <v>K11</v>
      </c>
      <c r="E471" t="str">
        <f t="shared" si="1"/>
        <v>KT</v>
      </c>
      <c r="F471">
        <v>2025</v>
      </c>
      <c r="G471">
        <v>1</v>
      </c>
      <c r="H471" t="s">
        <v>371</v>
      </c>
      <c r="I471" t="s">
        <v>262</v>
      </c>
      <c r="P471" t="s">
        <v>5</v>
      </c>
    </row>
    <row r="472" spans="1:16" x14ac:dyDescent="0.25">
      <c r="A472" t="s">
        <v>595</v>
      </c>
      <c r="B472" t="s">
        <v>396</v>
      </c>
      <c r="C472" t="s">
        <v>508</v>
      </c>
      <c r="D472" t="str">
        <f t="shared" si="0"/>
        <v>K11</v>
      </c>
      <c r="E472" t="str">
        <f t="shared" si="1"/>
        <v>KT</v>
      </c>
      <c r="F472">
        <v>2025</v>
      </c>
      <c r="G472">
        <v>1</v>
      </c>
      <c r="H472" t="s">
        <v>289</v>
      </c>
      <c r="I472" t="s">
        <v>131</v>
      </c>
      <c r="M472" t="s">
        <v>290</v>
      </c>
      <c r="P472" t="s">
        <v>5</v>
      </c>
    </row>
    <row r="473" spans="1:16" x14ac:dyDescent="0.25">
      <c r="A473" t="s">
        <v>595</v>
      </c>
      <c r="B473" t="s">
        <v>396</v>
      </c>
      <c r="C473" t="s">
        <v>508</v>
      </c>
      <c r="D473" t="str">
        <f t="shared" si="0"/>
        <v>K11</v>
      </c>
      <c r="E473" t="str">
        <f t="shared" si="1"/>
        <v>KT</v>
      </c>
      <c r="F473">
        <v>2025</v>
      </c>
      <c r="G473">
        <v>1</v>
      </c>
      <c r="H473" t="s">
        <v>284</v>
      </c>
      <c r="I473" t="s">
        <v>13</v>
      </c>
      <c r="P473" t="s">
        <v>5</v>
      </c>
    </row>
    <row r="474" spans="1:16" x14ac:dyDescent="0.25">
      <c r="A474" t="s">
        <v>595</v>
      </c>
      <c r="B474" t="s">
        <v>396</v>
      </c>
      <c r="C474" t="s">
        <v>508</v>
      </c>
      <c r="D474" t="str">
        <f t="shared" si="0"/>
        <v>K11</v>
      </c>
      <c r="E474" t="str">
        <f t="shared" si="1"/>
        <v>KT</v>
      </c>
      <c r="F474">
        <v>2025</v>
      </c>
      <c r="G474">
        <v>1</v>
      </c>
      <c r="H474" t="s">
        <v>295</v>
      </c>
      <c r="I474" t="s">
        <v>29</v>
      </c>
      <c r="M474" t="s">
        <v>296</v>
      </c>
      <c r="P474" t="s">
        <v>5</v>
      </c>
    </row>
    <row r="475" spans="1:16" x14ac:dyDescent="0.25">
      <c r="A475" t="s">
        <v>595</v>
      </c>
      <c r="B475" t="s">
        <v>396</v>
      </c>
      <c r="C475" t="s">
        <v>508</v>
      </c>
      <c r="D475" t="str">
        <f t="shared" si="0"/>
        <v>K11</v>
      </c>
      <c r="E475" t="str">
        <f t="shared" si="1"/>
        <v>KT</v>
      </c>
      <c r="F475">
        <v>2025</v>
      </c>
      <c r="G475">
        <v>1</v>
      </c>
      <c r="H475" t="s">
        <v>373</v>
      </c>
      <c r="I475" t="s">
        <v>20</v>
      </c>
      <c r="P475" t="s">
        <v>5</v>
      </c>
    </row>
    <row r="476" spans="1:16" x14ac:dyDescent="0.25">
      <c r="A476" t="s">
        <v>595</v>
      </c>
      <c r="B476" t="s">
        <v>396</v>
      </c>
      <c r="C476" t="s">
        <v>508</v>
      </c>
      <c r="D476" t="str">
        <f t="shared" si="0"/>
        <v>K11</v>
      </c>
      <c r="E476" t="str">
        <f t="shared" si="1"/>
        <v>KT</v>
      </c>
      <c r="F476">
        <v>2025</v>
      </c>
      <c r="G476">
        <v>1</v>
      </c>
      <c r="H476" t="s">
        <v>288</v>
      </c>
      <c r="I476" t="s">
        <v>227</v>
      </c>
      <c r="P476" t="s">
        <v>5</v>
      </c>
    </row>
    <row r="477" spans="1:16" x14ac:dyDescent="0.25">
      <c r="A477" t="s">
        <v>595</v>
      </c>
      <c r="B477" t="s">
        <v>396</v>
      </c>
      <c r="C477" t="s">
        <v>508</v>
      </c>
      <c r="D477" t="str">
        <f t="shared" si="0"/>
        <v>K11</v>
      </c>
      <c r="E477" t="str">
        <f t="shared" si="1"/>
        <v>KT</v>
      </c>
      <c r="F477">
        <v>2025</v>
      </c>
      <c r="G477">
        <v>1</v>
      </c>
      <c r="H477" t="s">
        <v>304</v>
      </c>
      <c r="I477" t="s">
        <v>39</v>
      </c>
      <c r="P477" t="s">
        <v>5</v>
      </c>
    </row>
    <row r="478" spans="1:16" x14ac:dyDescent="0.25">
      <c r="A478" t="s">
        <v>146</v>
      </c>
      <c r="B478" t="s">
        <v>509</v>
      </c>
      <c r="C478" t="s">
        <v>510</v>
      </c>
      <c r="D478" t="str">
        <f t="shared" si="0"/>
        <v>K11</v>
      </c>
      <c r="E478" t="str">
        <f t="shared" si="1"/>
        <v>KTDT</v>
      </c>
      <c r="F478">
        <v>2025</v>
      </c>
      <c r="G478">
        <v>1</v>
      </c>
      <c r="H478" t="s">
        <v>284</v>
      </c>
      <c r="I478" t="s">
        <v>13</v>
      </c>
      <c r="P478" t="s">
        <v>5</v>
      </c>
    </row>
    <row r="479" spans="1:16" x14ac:dyDescent="0.25">
      <c r="A479" t="s">
        <v>146</v>
      </c>
      <c r="B479" t="s">
        <v>509</v>
      </c>
      <c r="C479" t="s">
        <v>510</v>
      </c>
      <c r="D479" t="str">
        <f t="shared" si="0"/>
        <v>K11</v>
      </c>
      <c r="E479" t="str">
        <f t="shared" si="1"/>
        <v>KTDT</v>
      </c>
      <c r="F479">
        <v>2025</v>
      </c>
      <c r="G479">
        <v>1</v>
      </c>
      <c r="H479" t="s">
        <v>282</v>
      </c>
      <c r="I479" t="s">
        <v>25</v>
      </c>
      <c r="P479" t="s">
        <v>5</v>
      </c>
    </row>
    <row r="480" spans="1:16" x14ac:dyDescent="0.25">
      <c r="A480" t="s">
        <v>146</v>
      </c>
      <c r="B480" t="s">
        <v>509</v>
      </c>
      <c r="C480" t="s">
        <v>510</v>
      </c>
      <c r="D480" t="str">
        <f t="shared" si="0"/>
        <v>K11</v>
      </c>
      <c r="E480" t="str">
        <f t="shared" si="1"/>
        <v>KTDT</v>
      </c>
      <c r="F480">
        <v>2025</v>
      </c>
      <c r="G480">
        <v>1</v>
      </c>
      <c r="H480" t="s">
        <v>350</v>
      </c>
      <c r="I480" t="s">
        <v>109</v>
      </c>
      <c r="M480" t="s">
        <v>299</v>
      </c>
      <c r="P480" t="s">
        <v>5</v>
      </c>
    </row>
    <row r="481" spans="1:16" x14ac:dyDescent="0.25">
      <c r="A481" t="s">
        <v>146</v>
      </c>
      <c r="B481" t="s">
        <v>509</v>
      </c>
      <c r="C481" t="s">
        <v>510</v>
      </c>
      <c r="D481" t="str">
        <f t="shared" si="0"/>
        <v>K11</v>
      </c>
      <c r="E481" t="str">
        <f t="shared" si="1"/>
        <v>KTDT</v>
      </c>
      <c r="F481">
        <v>2025</v>
      </c>
      <c r="G481">
        <v>1</v>
      </c>
      <c r="H481" t="s">
        <v>294</v>
      </c>
      <c r="I481" t="s">
        <v>107</v>
      </c>
      <c r="M481" t="s">
        <v>293</v>
      </c>
      <c r="P481" t="s">
        <v>5</v>
      </c>
    </row>
    <row r="482" spans="1:16" x14ac:dyDescent="0.25">
      <c r="A482" t="s">
        <v>146</v>
      </c>
      <c r="B482" t="s">
        <v>509</v>
      </c>
      <c r="C482" t="s">
        <v>510</v>
      </c>
      <c r="D482" t="str">
        <f t="shared" si="0"/>
        <v>K11</v>
      </c>
      <c r="E482" t="str">
        <f t="shared" si="1"/>
        <v>KTDT</v>
      </c>
      <c r="F482">
        <v>2025</v>
      </c>
      <c r="G482">
        <v>1</v>
      </c>
      <c r="H482" t="s">
        <v>303</v>
      </c>
      <c r="I482" t="s">
        <v>23</v>
      </c>
      <c r="M482" t="s">
        <v>287</v>
      </c>
      <c r="P482" t="s">
        <v>5</v>
      </c>
    </row>
    <row r="483" spans="1:16" x14ac:dyDescent="0.25">
      <c r="A483" t="s">
        <v>146</v>
      </c>
      <c r="B483" t="s">
        <v>509</v>
      </c>
      <c r="C483" t="s">
        <v>510</v>
      </c>
      <c r="D483" t="str">
        <f t="shared" si="0"/>
        <v>K11</v>
      </c>
      <c r="E483" t="str">
        <f t="shared" si="1"/>
        <v>KTDT</v>
      </c>
      <c r="F483">
        <v>2025</v>
      </c>
      <c r="G483">
        <v>1</v>
      </c>
      <c r="H483" t="s">
        <v>288</v>
      </c>
      <c r="I483" t="s">
        <v>227</v>
      </c>
      <c r="P483" t="s">
        <v>5</v>
      </c>
    </row>
    <row r="484" spans="1:16" x14ac:dyDescent="0.25">
      <c r="A484" t="s">
        <v>382</v>
      </c>
      <c r="B484" t="s">
        <v>511</v>
      </c>
      <c r="C484" t="s">
        <v>512</v>
      </c>
      <c r="D484" t="str">
        <f t="shared" si="0"/>
        <v>K11</v>
      </c>
      <c r="E484" t="str">
        <f t="shared" si="1"/>
        <v>MKTS</v>
      </c>
      <c r="F484">
        <v>2025</v>
      </c>
      <c r="G484">
        <v>1</v>
      </c>
      <c r="H484" t="s">
        <v>349</v>
      </c>
      <c r="I484" t="s">
        <v>102</v>
      </c>
      <c r="M484" t="s">
        <v>299</v>
      </c>
      <c r="P484" t="s">
        <v>5</v>
      </c>
    </row>
    <row r="485" spans="1:16" x14ac:dyDescent="0.25">
      <c r="A485" t="s">
        <v>382</v>
      </c>
      <c r="B485" t="s">
        <v>511</v>
      </c>
      <c r="C485" t="s">
        <v>512</v>
      </c>
      <c r="D485" t="str">
        <f t="shared" ref="D485:D548" si="2">LEFT(C485,3)</f>
        <v>K11</v>
      </c>
      <c r="E485" t="str">
        <f t="shared" ref="E485:E548" si="3">LEFT(A485,LEN(A485)-4)</f>
        <v>MKTS</v>
      </c>
      <c r="F485">
        <v>2025</v>
      </c>
      <c r="G485">
        <v>1</v>
      </c>
      <c r="H485" t="s">
        <v>288</v>
      </c>
      <c r="I485" t="s">
        <v>227</v>
      </c>
      <c r="P485" t="s">
        <v>5</v>
      </c>
    </row>
    <row r="486" spans="1:16" x14ac:dyDescent="0.25">
      <c r="A486" t="s">
        <v>382</v>
      </c>
      <c r="B486" t="s">
        <v>511</v>
      </c>
      <c r="C486" t="s">
        <v>512</v>
      </c>
      <c r="D486" t="str">
        <f t="shared" si="2"/>
        <v>K11</v>
      </c>
      <c r="E486" t="str">
        <f t="shared" si="3"/>
        <v>MKTS</v>
      </c>
      <c r="F486">
        <v>2025</v>
      </c>
      <c r="G486">
        <v>1</v>
      </c>
      <c r="H486" t="s">
        <v>295</v>
      </c>
      <c r="I486" t="s">
        <v>29</v>
      </c>
      <c r="M486" t="s">
        <v>296</v>
      </c>
      <c r="P486" t="s">
        <v>5</v>
      </c>
    </row>
    <row r="487" spans="1:16" x14ac:dyDescent="0.25">
      <c r="A487" t="s">
        <v>382</v>
      </c>
      <c r="B487" t="s">
        <v>511</v>
      </c>
      <c r="C487" t="s">
        <v>512</v>
      </c>
      <c r="D487" t="str">
        <f t="shared" si="2"/>
        <v>K11</v>
      </c>
      <c r="E487" t="str">
        <f t="shared" si="3"/>
        <v>MKTS</v>
      </c>
      <c r="F487">
        <v>2025</v>
      </c>
      <c r="G487">
        <v>1</v>
      </c>
      <c r="H487" t="s">
        <v>302</v>
      </c>
      <c r="I487" t="s">
        <v>43</v>
      </c>
      <c r="M487" t="s">
        <v>287</v>
      </c>
      <c r="P487" t="s">
        <v>5</v>
      </c>
    </row>
    <row r="488" spans="1:16" x14ac:dyDescent="0.25">
      <c r="A488" t="s">
        <v>382</v>
      </c>
      <c r="B488" t="s">
        <v>511</v>
      </c>
      <c r="C488" t="s">
        <v>512</v>
      </c>
      <c r="D488" t="str">
        <f t="shared" si="2"/>
        <v>K11</v>
      </c>
      <c r="E488" t="str">
        <f t="shared" si="3"/>
        <v>MKTS</v>
      </c>
      <c r="F488">
        <v>2025</v>
      </c>
      <c r="G488">
        <v>1</v>
      </c>
      <c r="H488" t="s">
        <v>282</v>
      </c>
      <c r="I488" t="s">
        <v>25</v>
      </c>
      <c r="P488" t="s">
        <v>5</v>
      </c>
    </row>
    <row r="489" spans="1:16" x14ac:dyDescent="0.25">
      <c r="A489" t="s">
        <v>186</v>
      </c>
      <c r="B489" t="s">
        <v>513</v>
      </c>
      <c r="C489" t="s">
        <v>514</v>
      </c>
      <c r="D489" t="str">
        <f t="shared" si="2"/>
        <v>K11</v>
      </c>
      <c r="E489" t="str">
        <f t="shared" si="3"/>
        <v>NH</v>
      </c>
      <c r="F489">
        <v>2025</v>
      </c>
      <c r="G489">
        <v>1</v>
      </c>
      <c r="H489" t="s">
        <v>282</v>
      </c>
      <c r="I489" t="s">
        <v>25</v>
      </c>
      <c r="P489" t="s">
        <v>5</v>
      </c>
    </row>
    <row r="490" spans="1:16" x14ac:dyDescent="0.25">
      <c r="A490" t="s">
        <v>186</v>
      </c>
      <c r="B490" t="s">
        <v>513</v>
      </c>
      <c r="C490" t="s">
        <v>514</v>
      </c>
      <c r="D490" t="str">
        <f t="shared" si="2"/>
        <v>K11</v>
      </c>
      <c r="E490" t="str">
        <f t="shared" si="3"/>
        <v>NH</v>
      </c>
      <c r="F490">
        <v>2025</v>
      </c>
      <c r="G490">
        <v>1</v>
      </c>
      <c r="H490" t="s">
        <v>294</v>
      </c>
      <c r="I490" t="s">
        <v>107</v>
      </c>
      <c r="M490" t="s">
        <v>293</v>
      </c>
      <c r="P490" t="s">
        <v>5</v>
      </c>
    </row>
    <row r="491" spans="1:16" x14ac:dyDescent="0.25">
      <c r="A491" t="s">
        <v>186</v>
      </c>
      <c r="B491" t="s">
        <v>513</v>
      </c>
      <c r="C491" t="s">
        <v>514</v>
      </c>
      <c r="D491" t="str">
        <f t="shared" si="2"/>
        <v>K11</v>
      </c>
      <c r="E491" t="str">
        <f t="shared" si="3"/>
        <v>NH</v>
      </c>
      <c r="F491">
        <v>2025</v>
      </c>
      <c r="G491">
        <v>1</v>
      </c>
      <c r="H491" t="s">
        <v>373</v>
      </c>
      <c r="I491" t="s">
        <v>20</v>
      </c>
      <c r="P491" t="s">
        <v>5</v>
      </c>
    </row>
    <row r="492" spans="1:16" x14ac:dyDescent="0.25">
      <c r="A492" t="s">
        <v>186</v>
      </c>
      <c r="B492" t="s">
        <v>513</v>
      </c>
      <c r="C492" t="s">
        <v>514</v>
      </c>
      <c r="D492" t="str">
        <f t="shared" si="2"/>
        <v>K11</v>
      </c>
      <c r="E492" t="str">
        <f t="shared" si="3"/>
        <v>NH</v>
      </c>
      <c r="F492">
        <v>2025</v>
      </c>
      <c r="G492">
        <v>1</v>
      </c>
      <c r="H492" t="s">
        <v>303</v>
      </c>
      <c r="I492" t="s">
        <v>23</v>
      </c>
      <c r="M492" t="s">
        <v>287</v>
      </c>
      <c r="P492" t="s">
        <v>5</v>
      </c>
    </row>
    <row r="493" spans="1:16" x14ac:dyDescent="0.25">
      <c r="A493" t="s">
        <v>186</v>
      </c>
      <c r="B493" t="s">
        <v>513</v>
      </c>
      <c r="C493" t="s">
        <v>514</v>
      </c>
      <c r="D493" t="str">
        <f t="shared" si="2"/>
        <v>K11</v>
      </c>
      <c r="E493" t="str">
        <f t="shared" si="3"/>
        <v>NH</v>
      </c>
      <c r="F493">
        <v>2025</v>
      </c>
      <c r="G493">
        <v>1</v>
      </c>
      <c r="H493" t="s">
        <v>335</v>
      </c>
      <c r="I493" t="s">
        <v>194</v>
      </c>
      <c r="J493" t="s">
        <v>67</v>
      </c>
      <c r="P493" t="s">
        <v>5</v>
      </c>
    </row>
    <row r="494" spans="1:16" x14ac:dyDescent="0.25">
      <c r="A494" t="s">
        <v>186</v>
      </c>
      <c r="B494" t="s">
        <v>513</v>
      </c>
      <c r="C494" t="s">
        <v>514</v>
      </c>
      <c r="D494" t="str">
        <f t="shared" si="2"/>
        <v>K11</v>
      </c>
      <c r="E494" t="str">
        <f t="shared" si="3"/>
        <v>NH</v>
      </c>
      <c r="F494">
        <v>2025</v>
      </c>
      <c r="G494">
        <v>1</v>
      </c>
      <c r="H494" t="s">
        <v>384</v>
      </c>
      <c r="I494" t="s">
        <v>123</v>
      </c>
      <c r="J494" t="s">
        <v>67</v>
      </c>
    </row>
    <row r="495" spans="1:16" x14ac:dyDescent="0.25">
      <c r="A495" t="s">
        <v>186</v>
      </c>
      <c r="B495" t="s">
        <v>513</v>
      </c>
      <c r="C495" t="s">
        <v>514</v>
      </c>
      <c r="D495" t="str">
        <f t="shared" si="2"/>
        <v>K11</v>
      </c>
      <c r="E495" t="str">
        <f t="shared" si="3"/>
        <v>NH</v>
      </c>
      <c r="F495">
        <v>2025</v>
      </c>
      <c r="G495">
        <v>1</v>
      </c>
      <c r="H495" t="s">
        <v>385</v>
      </c>
      <c r="I495" t="s">
        <v>51</v>
      </c>
      <c r="J495" t="s">
        <v>67</v>
      </c>
      <c r="M495" t="s">
        <v>293</v>
      </c>
    </row>
    <row r="496" spans="1:16" x14ac:dyDescent="0.25">
      <c r="A496" t="s">
        <v>186</v>
      </c>
      <c r="B496" t="s">
        <v>513</v>
      </c>
      <c r="C496" t="s">
        <v>514</v>
      </c>
      <c r="D496" t="str">
        <f t="shared" si="2"/>
        <v>K11</v>
      </c>
      <c r="E496" t="str">
        <f t="shared" si="3"/>
        <v>NH</v>
      </c>
      <c r="F496">
        <v>2025</v>
      </c>
      <c r="G496">
        <v>1</v>
      </c>
      <c r="H496" t="s">
        <v>286</v>
      </c>
      <c r="I496" t="s">
        <v>35</v>
      </c>
      <c r="M496" t="s">
        <v>287</v>
      </c>
      <c r="P496" t="s">
        <v>5</v>
      </c>
    </row>
    <row r="497" spans="1:16" x14ac:dyDescent="0.25">
      <c r="A497" t="s">
        <v>386</v>
      </c>
      <c r="B497" t="s">
        <v>515</v>
      </c>
      <c r="C497" t="s">
        <v>516</v>
      </c>
      <c r="D497" t="str">
        <f t="shared" si="2"/>
        <v>K11</v>
      </c>
      <c r="E497" t="str">
        <f t="shared" si="3"/>
        <v>NHTCQT</v>
      </c>
      <c r="F497">
        <v>2025</v>
      </c>
      <c r="G497">
        <v>1</v>
      </c>
      <c r="H497" t="s">
        <v>282</v>
      </c>
      <c r="I497" t="s">
        <v>25</v>
      </c>
      <c r="P497" t="s">
        <v>5</v>
      </c>
    </row>
    <row r="498" spans="1:16" x14ac:dyDescent="0.25">
      <c r="A498" t="s">
        <v>386</v>
      </c>
      <c r="B498" t="s">
        <v>515</v>
      </c>
      <c r="C498" t="s">
        <v>516</v>
      </c>
      <c r="D498" t="str">
        <f t="shared" si="2"/>
        <v>K11</v>
      </c>
      <c r="E498" t="str">
        <f t="shared" si="3"/>
        <v>NHTCQT</v>
      </c>
      <c r="F498">
        <v>2025</v>
      </c>
      <c r="G498">
        <v>1</v>
      </c>
      <c r="H498" t="s">
        <v>377</v>
      </c>
      <c r="I498" t="s">
        <v>264</v>
      </c>
      <c r="M498" t="s">
        <v>293</v>
      </c>
      <c r="P498" t="s">
        <v>5</v>
      </c>
    </row>
    <row r="499" spans="1:16" x14ac:dyDescent="0.25">
      <c r="A499" t="s">
        <v>386</v>
      </c>
      <c r="B499" t="s">
        <v>515</v>
      </c>
      <c r="C499" t="s">
        <v>516</v>
      </c>
      <c r="D499" t="str">
        <f t="shared" si="2"/>
        <v>K11</v>
      </c>
      <c r="E499" t="str">
        <f t="shared" si="3"/>
        <v>NHTCQT</v>
      </c>
      <c r="F499">
        <v>2025</v>
      </c>
      <c r="G499">
        <v>1</v>
      </c>
      <c r="H499" t="s">
        <v>294</v>
      </c>
      <c r="I499" t="s">
        <v>107</v>
      </c>
      <c r="M499" t="s">
        <v>293</v>
      </c>
      <c r="P499" t="s">
        <v>5</v>
      </c>
    </row>
    <row r="500" spans="1:16" x14ac:dyDescent="0.25">
      <c r="A500" t="s">
        <v>386</v>
      </c>
      <c r="B500" t="s">
        <v>515</v>
      </c>
      <c r="C500" t="s">
        <v>516</v>
      </c>
      <c r="D500" t="str">
        <f t="shared" si="2"/>
        <v>K11</v>
      </c>
      <c r="E500" t="str">
        <f t="shared" si="3"/>
        <v>NHTCQT</v>
      </c>
      <c r="F500">
        <v>2025</v>
      </c>
      <c r="G500">
        <v>1</v>
      </c>
      <c r="H500" t="s">
        <v>295</v>
      </c>
      <c r="I500" t="s">
        <v>29</v>
      </c>
      <c r="M500" t="s">
        <v>296</v>
      </c>
      <c r="P500" t="s">
        <v>5</v>
      </c>
    </row>
    <row r="501" spans="1:16" x14ac:dyDescent="0.25">
      <c r="A501" t="s">
        <v>386</v>
      </c>
      <c r="B501" t="s">
        <v>515</v>
      </c>
      <c r="C501" t="s">
        <v>516</v>
      </c>
      <c r="D501" t="str">
        <f t="shared" si="2"/>
        <v>K11</v>
      </c>
      <c r="E501" t="str">
        <f t="shared" si="3"/>
        <v>NHTCQT</v>
      </c>
      <c r="F501">
        <v>2025</v>
      </c>
      <c r="G501">
        <v>1</v>
      </c>
      <c r="H501" t="s">
        <v>373</v>
      </c>
      <c r="I501" t="s">
        <v>20</v>
      </c>
      <c r="P501" t="s">
        <v>5</v>
      </c>
    </row>
    <row r="502" spans="1:16" x14ac:dyDescent="0.25">
      <c r="A502" t="s">
        <v>386</v>
      </c>
      <c r="B502" t="s">
        <v>515</v>
      </c>
      <c r="C502" t="s">
        <v>516</v>
      </c>
      <c r="D502" t="str">
        <f t="shared" si="2"/>
        <v>K11</v>
      </c>
      <c r="E502" t="str">
        <f t="shared" si="3"/>
        <v>NHTCQT</v>
      </c>
      <c r="F502">
        <v>2025</v>
      </c>
      <c r="G502">
        <v>1</v>
      </c>
      <c r="H502" t="s">
        <v>303</v>
      </c>
      <c r="I502" t="s">
        <v>23</v>
      </c>
      <c r="M502" t="s">
        <v>287</v>
      </c>
      <c r="P502" t="s">
        <v>5</v>
      </c>
    </row>
    <row r="503" spans="1:16" x14ac:dyDescent="0.25">
      <c r="A503" t="s">
        <v>243</v>
      </c>
      <c r="B503" t="s">
        <v>517</v>
      </c>
      <c r="C503" t="s">
        <v>518</v>
      </c>
      <c r="D503" t="str">
        <f t="shared" si="2"/>
        <v>K11</v>
      </c>
      <c r="E503" t="str">
        <f t="shared" si="3"/>
        <v>QTKD</v>
      </c>
      <c r="F503">
        <v>2025</v>
      </c>
      <c r="G503">
        <v>1</v>
      </c>
      <c r="H503" t="s">
        <v>349</v>
      </c>
      <c r="I503" t="s">
        <v>102</v>
      </c>
      <c r="M503" t="s">
        <v>299</v>
      </c>
      <c r="P503" t="s">
        <v>5</v>
      </c>
    </row>
    <row r="504" spans="1:16" x14ac:dyDescent="0.25">
      <c r="A504" t="s">
        <v>243</v>
      </c>
      <c r="B504" t="s">
        <v>517</v>
      </c>
      <c r="C504" t="s">
        <v>518</v>
      </c>
      <c r="D504" t="str">
        <f t="shared" si="2"/>
        <v>K11</v>
      </c>
      <c r="E504" t="str">
        <f t="shared" si="3"/>
        <v>QTKD</v>
      </c>
      <c r="F504">
        <v>2025</v>
      </c>
      <c r="G504">
        <v>1</v>
      </c>
      <c r="H504" t="s">
        <v>282</v>
      </c>
      <c r="I504" t="s">
        <v>25</v>
      </c>
      <c r="P504" t="s">
        <v>5</v>
      </c>
    </row>
    <row r="505" spans="1:16" x14ac:dyDescent="0.25">
      <c r="A505" t="s">
        <v>243</v>
      </c>
      <c r="B505" t="s">
        <v>517</v>
      </c>
      <c r="C505" t="s">
        <v>518</v>
      </c>
      <c r="D505" t="str">
        <f t="shared" si="2"/>
        <v>K11</v>
      </c>
      <c r="E505" t="str">
        <f t="shared" si="3"/>
        <v>QTKD</v>
      </c>
      <c r="F505">
        <v>2025</v>
      </c>
      <c r="G505">
        <v>1</v>
      </c>
      <c r="H505" t="s">
        <v>295</v>
      </c>
      <c r="I505" t="s">
        <v>29</v>
      </c>
      <c r="M505" t="s">
        <v>296</v>
      </c>
      <c r="P505" t="s">
        <v>5</v>
      </c>
    </row>
    <row r="506" spans="1:16" x14ac:dyDescent="0.25">
      <c r="A506" t="s">
        <v>243</v>
      </c>
      <c r="B506" t="s">
        <v>517</v>
      </c>
      <c r="C506" t="s">
        <v>518</v>
      </c>
      <c r="D506" t="str">
        <f t="shared" si="2"/>
        <v>K11</v>
      </c>
      <c r="E506" t="str">
        <f t="shared" si="3"/>
        <v>QTKD</v>
      </c>
      <c r="F506">
        <v>2025</v>
      </c>
      <c r="G506">
        <v>1</v>
      </c>
      <c r="H506" t="s">
        <v>373</v>
      </c>
      <c r="I506" t="s">
        <v>20</v>
      </c>
      <c r="P506" t="s">
        <v>5</v>
      </c>
    </row>
    <row r="507" spans="1:16" x14ac:dyDescent="0.25">
      <c r="A507" t="s">
        <v>243</v>
      </c>
      <c r="B507" t="s">
        <v>517</v>
      </c>
      <c r="C507" t="s">
        <v>518</v>
      </c>
      <c r="D507" t="str">
        <f t="shared" si="2"/>
        <v>K11</v>
      </c>
      <c r="E507" t="str">
        <f t="shared" si="3"/>
        <v>QTKD</v>
      </c>
      <c r="F507">
        <v>2025</v>
      </c>
      <c r="G507">
        <v>1</v>
      </c>
      <c r="H507" t="s">
        <v>348</v>
      </c>
      <c r="I507" t="s">
        <v>51</v>
      </c>
      <c r="M507" t="s">
        <v>299</v>
      </c>
      <c r="P507" t="s">
        <v>5</v>
      </c>
    </row>
    <row r="508" spans="1:16" x14ac:dyDescent="0.25">
      <c r="A508" t="s">
        <v>243</v>
      </c>
      <c r="B508" t="s">
        <v>517</v>
      </c>
      <c r="C508" t="s">
        <v>518</v>
      </c>
      <c r="D508" t="str">
        <f t="shared" si="2"/>
        <v>K11</v>
      </c>
      <c r="E508" t="str">
        <f t="shared" si="3"/>
        <v>QTKD</v>
      </c>
      <c r="F508">
        <v>2025</v>
      </c>
      <c r="G508">
        <v>1</v>
      </c>
      <c r="H508" t="s">
        <v>286</v>
      </c>
      <c r="I508" t="s">
        <v>35</v>
      </c>
      <c r="M508" t="s">
        <v>287</v>
      </c>
      <c r="P508" t="s">
        <v>5</v>
      </c>
    </row>
    <row r="509" spans="1:16" x14ac:dyDescent="0.25">
      <c r="A509" t="s">
        <v>243</v>
      </c>
      <c r="B509" t="s">
        <v>517</v>
      </c>
      <c r="C509" t="s">
        <v>518</v>
      </c>
      <c r="D509" t="str">
        <f t="shared" si="2"/>
        <v>K11</v>
      </c>
      <c r="E509" t="str">
        <f t="shared" si="3"/>
        <v>QTKD</v>
      </c>
      <c r="F509">
        <v>2025</v>
      </c>
      <c r="G509">
        <v>1</v>
      </c>
      <c r="H509" t="s">
        <v>288</v>
      </c>
      <c r="I509" t="s">
        <v>227</v>
      </c>
      <c r="P509" t="s">
        <v>5</v>
      </c>
    </row>
    <row r="510" spans="1:16" x14ac:dyDescent="0.25">
      <c r="A510" t="s">
        <v>252</v>
      </c>
      <c r="B510" t="s">
        <v>519</v>
      </c>
      <c r="C510" t="s">
        <v>520</v>
      </c>
      <c r="D510" t="str">
        <f t="shared" si="2"/>
        <v>K11</v>
      </c>
      <c r="E510" t="str">
        <f t="shared" si="3"/>
        <v>TC</v>
      </c>
      <c r="F510">
        <v>2025</v>
      </c>
      <c r="G510">
        <v>1</v>
      </c>
      <c r="H510" t="s">
        <v>371</v>
      </c>
      <c r="I510" t="s">
        <v>262</v>
      </c>
      <c r="P510" t="s">
        <v>5</v>
      </c>
    </row>
    <row r="511" spans="1:16" x14ac:dyDescent="0.25">
      <c r="A511" t="s">
        <v>252</v>
      </c>
      <c r="B511" t="s">
        <v>519</v>
      </c>
      <c r="C511" t="s">
        <v>520</v>
      </c>
      <c r="D511" t="str">
        <f t="shared" si="2"/>
        <v>K11</v>
      </c>
      <c r="E511" t="str">
        <f t="shared" si="3"/>
        <v>TC</v>
      </c>
      <c r="F511">
        <v>2025</v>
      </c>
      <c r="G511">
        <v>1</v>
      </c>
      <c r="H511" t="s">
        <v>282</v>
      </c>
      <c r="I511" t="s">
        <v>25</v>
      </c>
      <c r="P511" t="s">
        <v>5</v>
      </c>
    </row>
    <row r="512" spans="1:16" x14ac:dyDescent="0.25">
      <c r="A512" t="s">
        <v>252</v>
      </c>
      <c r="B512" t="s">
        <v>519</v>
      </c>
      <c r="C512" t="s">
        <v>520</v>
      </c>
      <c r="D512" t="str">
        <f t="shared" si="2"/>
        <v>K11</v>
      </c>
      <c r="E512" t="str">
        <f t="shared" si="3"/>
        <v>TC</v>
      </c>
      <c r="F512">
        <v>2025</v>
      </c>
      <c r="G512">
        <v>1</v>
      </c>
      <c r="H512" t="s">
        <v>294</v>
      </c>
      <c r="I512" t="s">
        <v>107</v>
      </c>
      <c r="M512" t="s">
        <v>293</v>
      </c>
      <c r="P512" t="s">
        <v>5</v>
      </c>
    </row>
    <row r="513" spans="1:17" x14ac:dyDescent="0.25">
      <c r="A513" t="s">
        <v>252</v>
      </c>
      <c r="B513" t="s">
        <v>519</v>
      </c>
      <c r="C513" t="s">
        <v>520</v>
      </c>
      <c r="D513" t="str">
        <f t="shared" si="2"/>
        <v>K11</v>
      </c>
      <c r="E513" t="str">
        <f t="shared" si="3"/>
        <v>TC</v>
      </c>
      <c r="F513">
        <v>2025</v>
      </c>
      <c r="G513">
        <v>1</v>
      </c>
      <c r="H513" t="s">
        <v>373</v>
      </c>
      <c r="I513" t="s">
        <v>20</v>
      </c>
      <c r="P513" t="s">
        <v>5</v>
      </c>
    </row>
    <row r="514" spans="1:17" x14ac:dyDescent="0.25">
      <c r="A514" t="s">
        <v>252</v>
      </c>
      <c r="B514" t="s">
        <v>519</v>
      </c>
      <c r="C514" t="s">
        <v>520</v>
      </c>
      <c r="D514" t="str">
        <f t="shared" si="2"/>
        <v>K11</v>
      </c>
      <c r="E514" t="str">
        <f t="shared" si="3"/>
        <v>TC</v>
      </c>
      <c r="F514">
        <v>2025</v>
      </c>
      <c r="G514">
        <v>1</v>
      </c>
      <c r="H514" t="s">
        <v>288</v>
      </c>
      <c r="I514" t="s">
        <v>227</v>
      </c>
      <c r="P514" t="s">
        <v>5</v>
      </c>
    </row>
    <row r="515" spans="1:17" x14ac:dyDescent="0.25">
      <c r="A515" t="s">
        <v>252</v>
      </c>
      <c r="B515" t="s">
        <v>519</v>
      </c>
      <c r="C515" t="s">
        <v>520</v>
      </c>
      <c r="D515" t="str">
        <f t="shared" si="2"/>
        <v>K11</v>
      </c>
      <c r="E515" t="str">
        <f t="shared" si="3"/>
        <v>TC</v>
      </c>
      <c r="F515">
        <v>2025</v>
      </c>
      <c r="G515">
        <v>1</v>
      </c>
      <c r="H515" t="s">
        <v>303</v>
      </c>
      <c r="I515" t="s">
        <v>23</v>
      </c>
      <c r="M515" t="s">
        <v>287</v>
      </c>
      <c r="P515" t="s">
        <v>5</v>
      </c>
    </row>
    <row r="516" spans="1:17" x14ac:dyDescent="0.25">
      <c r="A516" t="s">
        <v>397</v>
      </c>
      <c r="B516" t="s">
        <v>535</v>
      </c>
      <c r="C516" t="s">
        <v>536</v>
      </c>
      <c r="D516" t="str">
        <f t="shared" si="2"/>
        <v>K12</v>
      </c>
      <c r="E516" t="str">
        <f t="shared" si="3"/>
        <v>HDTVTC</v>
      </c>
      <c r="F516">
        <v>2025</v>
      </c>
      <c r="G516">
        <v>1</v>
      </c>
      <c r="H516" t="s">
        <v>277</v>
      </c>
      <c r="I516" t="s">
        <v>2</v>
      </c>
      <c r="J516">
        <v>1</v>
      </c>
      <c r="Q516" t="s">
        <v>5</v>
      </c>
    </row>
    <row r="517" spans="1:17" x14ac:dyDescent="0.25">
      <c r="A517" t="s">
        <v>397</v>
      </c>
      <c r="B517" t="s">
        <v>535</v>
      </c>
      <c r="C517" t="s">
        <v>536</v>
      </c>
      <c r="D517" t="str">
        <f t="shared" si="2"/>
        <v>K12</v>
      </c>
      <c r="E517" t="str">
        <f t="shared" si="3"/>
        <v>HDTVTC</v>
      </c>
      <c r="F517">
        <v>2025</v>
      </c>
      <c r="G517">
        <v>1</v>
      </c>
      <c r="H517" t="s">
        <v>367</v>
      </c>
      <c r="I517" t="s">
        <v>368</v>
      </c>
      <c r="J517">
        <v>3</v>
      </c>
      <c r="Q517" t="s">
        <v>5</v>
      </c>
    </row>
    <row r="518" spans="1:17" x14ac:dyDescent="0.25">
      <c r="A518" t="s">
        <v>397</v>
      </c>
      <c r="B518" t="s">
        <v>535</v>
      </c>
      <c r="C518" t="s">
        <v>536</v>
      </c>
      <c r="D518" t="str">
        <f t="shared" si="2"/>
        <v>K12</v>
      </c>
      <c r="E518" t="str">
        <f t="shared" si="3"/>
        <v>HDTVTC</v>
      </c>
      <c r="F518">
        <v>2025</v>
      </c>
      <c r="G518">
        <v>1</v>
      </c>
      <c r="H518" t="s">
        <v>369</v>
      </c>
      <c r="I518" t="s">
        <v>370</v>
      </c>
      <c r="J518">
        <v>3</v>
      </c>
      <c r="Q518" t="s">
        <v>5</v>
      </c>
    </row>
    <row r="519" spans="1:17" x14ac:dyDescent="0.25">
      <c r="A519" t="s">
        <v>397</v>
      </c>
      <c r="B519" t="s">
        <v>535</v>
      </c>
      <c r="C519" t="s">
        <v>536</v>
      </c>
      <c r="D519" t="str">
        <f t="shared" si="2"/>
        <v>K12</v>
      </c>
      <c r="E519" t="str">
        <f t="shared" si="3"/>
        <v>HDTVTC</v>
      </c>
      <c r="F519">
        <v>2025</v>
      </c>
      <c r="G519">
        <v>1</v>
      </c>
      <c r="H519" t="s">
        <v>278</v>
      </c>
      <c r="I519" t="s">
        <v>7</v>
      </c>
      <c r="J519">
        <v>3</v>
      </c>
      <c r="Q519" t="s">
        <v>5</v>
      </c>
    </row>
    <row r="520" spans="1:17" x14ac:dyDescent="0.25">
      <c r="A520" t="s">
        <v>397</v>
      </c>
      <c r="B520" t="s">
        <v>535</v>
      </c>
      <c r="C520" t="s">
        <v>536</v>
      </c>
      <c r="D520" t="str">
        <f t="shared" si="2"/>
        <v>K12</v>
      </c>
      <c r="E520" t="str">
        <f t="shared" si="3"/>
        <v>HDTVTC</v>
      </c>
      <c r="F520">
        <v>2025</v>
      </c>
      <c r="G520">
        <v>1</v>
      </c>
      <c r="H520" t="s">
        <v>279</v>
      </c>
      <c r="I520" t="s">
        <v>11</v>
      </c>
      <c r="J520">
        <v>3</v>
      </c>
      <c r="Q520" t="s">
        <v>5</v>
      </c>
    </row>
    <row r="521" spans="1:17" x14ac:dyDescent="0.25">
      <c r="A521" t="s">
        <v>397</v>
      </c>
      <c r="B521" t="s">
        <v>535</v>
      </c>
      <c r="C521" t="s">
        <v>536</v>
      </c>
      <c r="D521" t="str">
        <f t="shared" si="2"/>
        <v>K12</v>
      </c>
      <c r="E521" t="str">
        <f t="shared" si="3"/>
        <v>HDTVTC</v>
      </c>
      <c r="F521">
        <v>2025</v>
      </c>
      <c r="G521">
        <v>1</v>
      </c>
      <c r="H521" t="s">
        <v>284</v>
      </c>
      <c r="I521" t="s">
        <v>13</v>
      </c>
      <c r="J521">
        <v>3</v>
      </c>
      <c r="Q521" t="s">
        <v>5</v>
      </c>
    </row>
    <row r="522" spans="1:17" x14ac:dyDescent="0.25">
      <c r="A522" t="s">
        <v>397</v>
      </c>
      <c r="B522" t="s">
        <v>535</v>
      </c>
      <c r="C522" t="s">
        <v>536</v>
      </c>
      <c r="D522" t="str">
        <f t="shared" si="2"/>
        <v>K12</v>
      </c>
      <c r="E522" t="str">
        <f t="shared" si="3"/>
        <v>HDTVTC</v>
      </c>
      <c r="F522">
        <v>2025</v>
      </c>
      <c r="G522">
        <v>1</v>
      </c>
      <c r="H522" t="s">
        <v>371</v>
      </c>
      <c r="I522" t="s">
        <v>262</v>
      </c>
      <c r="J522">
        <v>3</v>
      </c>
      <c r="Q522" t="s">
        <v>5</v>
      </c>
    </row>
    <row r="523" spans="1:17" x14ac:dyDescent="0.25">
      <c r="A523" t="s">
        <v>397</v>
      </c>
      <c r="B523" t="s">
        <v>535</v>
      </c>
      <c r="C523" t="s">
        <v>536</v>
      </c>
      <c r="D523" t="str">
        <f t="shared" si="2"/>
        <v>K12</v>
      </c>
      <c r="E523" t="str">
        <f t="shared" si="3"/>
        <v>HDTVTC</v>
      </c>
      <c r="F523">
        <v>2025</v>
      </c>
      <c r="G523">
        <v>1</v>
      </c>
      <c r="H523" t="s">
        <v>373</v>
      </c>
      <c r="I523" t="s">
        <v>20</v>
      </c>
      <c r="J523">
        <v>3</v>
      </c>
      <c r="Q523" t="s">
        <v>5</v>
      </c>
    </row>
    <row r="524" spans="1:17" x14ac:dyDescent="0.25">
      <c r="A524" t="s">
        <v>397</v>
      </c>
      <c r="B524" t="s">
        <v>535</v>
      </c>
      <c r="C524" t="s">
        <v>536</v>
      </c>
      <c r="D524" t="str">
        <f t="shared" si="2"/>
        <v>K12</v>
      </c>
      <c r="E524" t="str">
        <f t="shared" si="3"/>
        <v>HDTVTC</v>
      </c>
      <c r="F524">
        <v>2025</v>
      </c>
      <c r="G524">
        <v>1</v>
      </c>
      <c r="H524" t="s">
        <v>280</v>
      </c>
      <c r="I524" t="s">
        <v>74</v>
      </c>
      <c r="J524">
        <v>2</v>
      </c>
      <c r="K524" t="s">
        <v>398</v>
      </c>
      <c r="Q524" t="s">
        <v>5</v>
      </c>
    </row>
    <row r="525" spans="1:17" x14ac:dyDescent="0.25">
      <c r="A525" t="s">
        <v>397</v>
      </c>
      <c r="B525" t="s">
        <v>535</v>
      </c>
      <c r="C525" t="s">
        <v>536</v>
      </c>
      <c r="D525" t="str">
        <f t="shared" si="2"/>
        <v>K12</v>
      </c>
      <c r="E525" t="str">
        <f t="shared" si="3"/>
        <v>HDTVTC</v>
      </c>
      <c r="F525">
        <v>2025</v>
      </c>
      <c r="G525">
        <v>1</v>
      </c>
      <c r="H525" t="s">
        <v>297</v>
      </c>
      <c r="I525" t="s">
        <v>298</v>
      </c>
      <c r="J525">
        <v>2</v>
      </c>
      <c r="K525" t="s">
        <v>398</v>
      </c>
      <c r="Q525" t="s">
        <v>5</v>
      </c>
    </row>
    <row r="526" spans="1:17" x14ac:dyDescent="0.25">
      <c r="A526" t="s">
        <v>94</v>
      </c>
      <c r="B526" t="s">
        <v>537</v>
      </c>
      <c r="C526" t="s">
        <v>538</v>
      </c>
      <c r="D526" t="str">
        <f t="shared" si="2"/>
        <v>K12</v>
      </c>
      <c r="E526" t="str">
        <f t="shared" si="3"/>
        <v>HTTT</v>
      </c>
      <c r="F526">
        <v>2025</v>
      </c>
      <c r="G526">
        <v>1</v>
      </c>
      <c r="H526" t="s">
        <v>367</v>
      </c>
      <c r="I526" t="s">
        <v>368</v>
      </c>
      <c r="J526">
        <v>3</v>
      </c>
      <c r="Q526" t="s">
        <v>5</v>
      </c>
    </row>
    <row r="527" spans="1:17" x14ac:dyDescent="0.25">
      <c r="A527" t="s">
        <v>94</v>
      </c>
      <c r="B527" t="s">
        <v>537</v>
      </c>
      <c r="C527" t="s">
        <v>538</v>
      </c>
      <c r="D527" t="str">
        <f t="shared" si="2"/>
        <v>K12</v>
      </c>
      <c r="E527" t="str">
        <f t="shared" si="3"/>
        <v>HTTT</v>
      </c>
      <c r="F527">
        <v>2025</v>
      </c>
      <c r="G527">
        <v>1</v>
      </c>
      <c r="H527" t="s">
        <v>369</v>
      </c>
      <c r="I527" t="s">
        <v>370</v>
      </c>
      <c r="J527">
        <v>3</v>
      </c>
      <c r="Q527" t="s">
        <v>5</v>
      </c>
    </row>
    <row r="528" spans="1:17" x14ac:dyDescent="0.25">
      <c r="A528" t="s">
        <v>94</v>
      </c>
      <c r="B528" t="s">
        <v>537</v>
      </c>
      <c r="C528" t="s">
        <v>538</v>
      </c>
      <c r="D528" t="str">
        <f t="shared" si="2"/>
        <v>K12</v>
      </c>
      <c r="E528" t="str">
        <f t="shared" si="3"/>
        <v>HTTT</v>
      </c>
      <c r="F528">
        <v>2025</v>
      </c>
      <c r="G528">
        <v>1</v>
      </c>
      <c r="H528" t="s">
        <v>277</v>
      </c>
      <c r="I528" t="s">
        <v>2</v>
      </c>
      <c r="J528">
        <v>1</v>
      </c>
      <c r="Q528" t="s">
        <v>5</v>
      </c>
    </row>
    <row r="529" spans="1:17" x14ac:dyDescent="0.25">
      <c r="A529" t="s">
        <v>94</v>
      </c>
      <c r="B529" t="s">
        <v>537</v>
      </c>
      <c r="C529" t="s">
        <v>538</v>
      </c>
      <c r="D529" t="str">
        <f t="shared" si="2"/>
        <v>K12</v>
      </c>
      <c r="E529" t="str">
        <f t="shared" si="3"/>
        <v>HTTT</v>
      </c>
      <c r="F529">
        <v>2025</v>
      </c>
      <c r="G529">
        <v>1</v>
      </c>
      <c r="H529" t="s">
        <v>399</v>
      </c>
      <c r="I529" t="s">
        <v>96</v>
      </c>
      <c r="J529">
        <v>3</v>
      </c>
      <c r="Q529" t="s">
        <v>5</v>
      </c>
    </row>
    <row r="530" spans="1:17" x14ac:dyDescent="0.25">
      <c r="A530" t="s">
        <v>94</v>
      </c>
      <c r="B530" t="s">
        <v>537</v>
      </c>
      <c r="C530" t="s">
        <v>538</v>
      </c>
      <c r="D530" t="str">
        <f t="shared" si="2"/>
        <v>K12</v>
      </c>
      <c r="E530" t="str">
        <f t="shared" si="3"/>
        <v>HTTT</v>
      </c>
      <c r="F530">
        <v>2025</v>
      </c>
      <c r="G530">
        <v>1</v>
      </c>
      <c r="H530" t="s">
        <v>278</v>
      </c>
      <c r="I530" t="s">
        <v>7</v>
      </c>
      <c r="J530">
        <v>3</v>
      </c>
      <c r="Q530" t="s">
        <v>5</v>
      </c>
    </row>
    <row r="531" spans="1:17" x14ac:dyDescent="0.25">
      <c r="A531" t="s">
        <v>94</v>
      </c>
      <c r="B531" t="s">
        <v>537</v>
      </c>
      <c r="C531" t="s">
        <v>538</v>
      </c>
      <c r="D531" t="str">
        <f t="shared" si="2"/>
        <v>K12</v>
      </c>
      <c r="E531" t="str">
        <f t="shared" si="3"/>
        <v>HTTT</v>
      </c>
      <c r="F531">
        <v>2025</v>
      </c>
      <c r="G531">
        <v>1</v>
      </c>
      <c r="H531" t="s">
        <v>279</v>
      </c>
      <c r="I531" t="s">
        <v>11</v>
      </c>
      <c r="J531">
        <v>3</v>
      </c>
      <c r="Q531" t="s">
        <v>5</v>
      </c>
    </row>
    <row r="532" spans="1:17" x14ac:dyDescent="0.25">
      <c r="A532" t="s">
        <v>94</v>
      </c>
      <c r="B532" t="s">
        <v>537</v>
      </c>
      <c r="C532" t="s">
        <v>538</v>
      </c>
      <c r="D532" t="str">
        <f t="shared" si="2"/>
        <v>K12</v>
      </c>
      <c r="E532" t="str">
        <f t="shared" si="3"/>
        <v>HTTT</v>
      </c>
      <c r="F532">
        <v>2025</v>
      </c>
      <c r="G532">
        <v>1</v>
      </c>
      <c r="H532" t="s">
        <v>400</v>
      </c>
      <c r="I532" t="s">
        <v>401</v>
      </c>
      <c r="J532">
        <v>3</v>
      </c>
      <c r="Q532" t="s">
        <v>5</v>
      </c>
    </row>
    <row r="533" spans="1:17" x14ac:dyDescent="0.25">
      <c r="A533" t="s">
        <v>94</v>
      </c>
      <c r="B533" t="s">
        <v>537</v>
      </c>
      <c r="C533" t="s">
        <v>538</v>
      </c>
      <c r="D533" t="str">
        <f t="shared" si="2"/>
        <v>K12</v>
      </c>
      <c r="E533" t="str">
        <f t="shared" si="3"/>
        <v>HTTT</v>
      </c>
      <c r="F533">
        <v>2025</v>
      </c>
      <c r="G533">
        <v>1</v>
      </c>
      <c r="H533" t="s">
        <v>371</v>
      </c>
      <c r="I533" t="s">
        <v>262</v>
      </c>
      <c r="J533">
        <v>3</v>
      </c>
      <c r="Q533" t="s">
        <v>5</v>
      </c>
    </row>
    <row r="534" spans="1:17" x14ac:dyDescent="0.25">
      <c r="A534" t="s">
        <v>94</v>
      </c>
      <c r="B534" t="s">
        <v>537</v>
      </c>
      <c r="C534" t="s">
        <v>538</v>
      </c>
      <c r="D534" t="str">
        <f t="shared" si="2"/>
        <v>K12</v>
      </c>
      <c r="E534" t="str">
        <f t="shared" si="3"/>
        <v>HTTT</v>
      </c>
      <c r="F534">
        <v>2025</v>
      </c>
      <c r="G534">
        <v>1</v>
      </c>
      <c r="H534" t="s">
        <v>373</v>
      </c>
      <c r="I534" t="s">
        <v>20</v>
      </c>
      <c r="J534">
        <v>3</v>
      </c>
      <c r="Q534" t="s">
        <v>5</v>
      </c>
    </row>
    <row r="535" spans="1:17" x14ac:dyDescent="0.25">
      <c r="A535" t="s">
        <v>105</v>
      </c>
      <c r="B535" t="s">
        <v>539</v>
      </c>
      <c r="C535" t="s">
        <v>540</v>
      </c>
      <c r="D535" t="str">
        <f t="shared" si="2"/>
        <v>K12</v>
      </c>
      <c r="E535" t="str">
        <f t="shared" si="3"/>
        <v>KDQT</v>
      </c>
      <c r="F535">
        <v>2025</v>
      </c>
      <c r="G535">
        <v>1</v>
      </c>
      <c r="H535" t="s">
        <v>277</v>
      </c>
      <c r="I535" t="s">
        <v>2</v>
      </c>
      <c r="J535">
        <v>1</v>
      </c>
      <c r="Q535" t="s">
        <v>5</v>
      </c>
    </row>
    <row r="536" spans="1:17" x14ac:dyDescent="0.25">
      <c r="A536" t="s">
        <v>105</v>
      </c>
      <c r="B536" t="s">
        <v>539</v>
      </c>
      <c r="C536" t="s">
        <v>540</v>
      </c>
      <c r="D536" t="str">
        <f t="shared" si="2"/>
        <v>K12</v>
      </c>
      <c r="E536" t="str">
        <f t="shared" si="3"/>
        <v>KDQT</v>
      </c>
      <c r="F536">
        <v>2025</v>
      </c>
      <c r="G536">
        <v>1</v>
      </c>
      <c r="H536" t="s">
        <v>367</v>
      </c>
      <c r="I536" t="s">
        <v>368</v>
      </c>
      <c r="J536">
        <v>3</v>
      </c>
      <c r="Q536" t="s">
        <v>5</v>
      </c>
    </row>
    <row r="537" spans="1:17" x14ac:dyDescent="0.25">
      <c r="A537" t="s">
        <v>105</v>
      </c>
      <c r="B537" t="s">
        <v>539</v>
      </c>
      <c r="C537" t="s">
        <v>540</v>
      </c>
      <c r="D537" t="str">
        <f t="shared" si="2"/>
        <v>K12</v>
      </c>
      <c r="E537" t="str">
        <f t="shared" si="3"/>
        <v>KDQT</v>
      </c>
      <c r="F537">
        <v>2025</v>
      </c>
      <c r="G537">
        <v>1</v>
      </c>
      <c r="H537" t="s">
        <v>369</v>
      </c>
      <c r="I537" t="s">
        <v>370</v>
      </c>
      <c r="J537">
        <v>3</v>
      </c>
      <c r="Q537" t="s">
        <v>5</v>
      </c>
    </row>
    <row r="538" spans="1:17" x14ac:dyDescent="0.25">
      <c r="A538" t="s">
        <v>105</v>
      </c>
      <c r="B538" t="s">
        <v>539</v>
      </c>
      <c r="C538" t="s">
        <v>540</v>
      </c>
      <c r="D538" t="str">
        <f t="shared" si="2"/>
        <v>K12</v>
      </c>
      <c r="E538" t="str">
        <f t="shared" si="3"/>
        <v>KDQT</v>
      </c>
      <c r="F538">
        <v>2025</v>
      </c>
      <c r="G538">
        <v>1</v>
      </c>
      <c r="H538" t="s">
        <v>278</v>
      </c>
      <c r="I538" t="s">
        <v>7</v>
      </c>
      <c r="J538">
        <v>3</v>
      </c>
      <c r="Q538" t="s">
        <v>5</v>
      </c>
    </row>
    <row r="539" spans="1:17" x14ac:dyDescent="0.25">
      <c r="A539" t="s">
        <v>105</v>
      </c>
      <c r="B539" t="s">
        <v>539</v>
      </c>
      <c r="C539" t="s">
        <v>540</v>
      </c>
      <c r="D539" t="str">
        <f t="shared" si="2"/>
        <v>K12</v>
      </c>
      <c r="E539" t="str">
        <f t="shared" si="3"/>
        <v>KDQT</v>
      </c>
      <c r="F539">
        <v>2025</v>
      </c>
      <c r="G539">
        <v>1</v>
      </c>
      <c r="H539" t="s">
        <v>279</v>
      </c>
      <c r="I539" t="s">
        <v>11</v>
      </c>
      <c r="J539">
        <v>3</v>
      </c>
      <c r="Q539" t="s">
        <v>5</v>
      </c>
    </row>
    <row r="540" spans="1:17" x14ac:dyDescent="0.25">
      <c r="A540" t="s">
        <v>105</v>
      </c>
      <c r="B540" t="s">
        <v>539</v>
      </c>
      <c r="C540" t="s">
        <v>540</v>
      </c>
      <c r="D540" t="str">
        <f t="shared" si="2"/>
        <v>K12</v>
      </c>
      <c r="E540" t="str">
        <f t="shared" si="3"/>
        <v>KDQT</v>
      </c>
      <c r="F540">
        <v>2025</v>
      </c>
      <c r="G540">
        <v>1</v>
      </c>
      <c r="H540" t="s">
        <v>283</v>
      </c>
      <c r="I540" t="s">
        <v>16</v>
      </c>
      <c r="J540">
        <v>3</v>
      </c>
      <c r="Q540" t="s">
        <v>5</v>
      </c>
    </row>
    <row r="541" spans="1:17" x14ac:dyDescent="0.25">
      <c r="A541" t="s">
        <v>105</v>
      </c>
      <c r="B541" t="s">
        <v>539</v>
      </c>
      <c r="C541" t="s">
        <v>540</v>
      </c>
      <c r="D541" t="str">
        <f t="shared" si="2"/>
        <v>K12</v>
      </c>
      <c r="E541" t="str">
        <f t="shared" si="3"/>
        <v>KDQT</v>
      </c>
      <c r="F541">
        <v>2025</v>
      </c>
      <c r="G541">
        <v>1</v>
      </c>
      <c r="H541" t="s">
        <v>285</v>
      </c>
      <c r="I541" t="s">
        <v>72</v>
      </c>
      <c r="J541">
        <v>3</v>
      </c>
      <c r="Q541" t="s">
        <v>5</v>
      </c>
    </row>
    <row r="542" spans="1:17" x14ac:dyDescent="0.25">
      <c r="A542" t="s">
        <v>105</v>
      </c>
      <c r="B542" t="s">
        <v>539</v>
      </c>
      <c r="C542" t="s">
        <v>540</v>
      </c>
      <c r="D542" t="str">
        <f t="shared" si="2"/>
        <v>K12</v>
      </c>
      <c r="E542" t="str">
        <f t="shared" si="3"/>
        <v>KDQT</v>
      </c>
      <c r="F542">
        <v>2025</v>
      </c>
      <c r="G542">
        <v>1</v>
      </c>
      <c r="H542" t="s">
        <v>371</v>
      </c>
      <c r="I542" t="s">
        <v>262</v>
      </c>
      <c r="J542">
        <v>3</v>
      </c>
      <c r="Q542" t="s">
        <v>5</v>
      </c>
    </row>
    <row r="543" spans="1:17" x14ac:dyDescent="0.25">
      <c r="A543" t="s">
        <v>105</v>
      </c>
      <c r="B543" t="s">
        <v>539</v>
      </c>
      <c r="C543" t="s">
        <v>540</v>
      </c>
      <c r="D543" t="str">
        <f t="shared" si="2"/>
        <v>K12</v>
      </c>
      <c r="E543" t="str">
        <f t="shared" si="3"/>
        <v>KDQT</v>
      </c>
      <c r="F543">
        <v>2025</v>
      </c>
      <c r="G543">
        <v>1</v>
      </c>
      <c r="H543" t="s">
        <v>281</v>
      </c>
      <c r="I543" t="s">
        <v>22</v>
      </c>
      <c r="J543">
        <v>2</v>
      </c>
      <c r="Q543" t="s">
        <v>5</v>
      </c>
    </row>
    <row r="544" spans="1:17" x14ac:dyDescent="0.25">
      <c r="A544" t="s">
        <v>105</v>
      </c>
      <c r="B544" t="s">
        <v>539</v>
      </c>
      <c r="C544" t="s">
        <v>540</v>
      </c>
      <c r="D544" t="str">
        <f t="shared" si="2"/>
        <v>K12</v>
      </c>
      <c r="E544" t="str">
        <f t="shared" si="3"/>
        <v>KDQT</v>
      </c>
      <c r="F544">
        <v>2025</v>
      </c>
      <c r="G544">
        <v>1</v>
      </c>
      <c r="H544" t="s">
        <v>280</v>
      </c>
      <c r="I544" t="s">
        <v>74</v>
      </c>
      <c r="J544">
        <v>2</v>
      </c>
      <c r="K544" t="s">
        <v>398</v>
      </c>
      <c r="Q544" t="s">
        <v>5</v>
      </c>
    </row>
    <row r="545" spans="1:17" x14ac:dyDescent="0.25">
      <c r="A545" t="s">
        <v>105</v>
      </c>
      <c r="B545" t="s">
        <v>539</v>
      </c>
      <c r="C545" t="s">
        <v>540</v>
      </c>
      <c r="D545" t="str">
        <f t="shared" si="2"/>
        <v>K12</v>
      </c>
      <c r="E545" t="str">
        <f t="shared" si="3"/>
        <v>KDQT</v>
      </c>
      <c r="F545">
        <v>2025</v>
      </c>
      <c r="G545">
        <v>1</v>
      </c>
      <c r="H545" t="s">
        <v>297</v>
      </c>
      <c r="I545" t="s">
        <v>298</v>
      </c>
      <c r="J545">
        <v>2</v>
      </c>
      <c r="K545" t="s">
        <v>398</v>
      </c>
      <c r="Q545" t="s">
        <v>5</v>
      </c>
    </row>
    <row r="546" spans="1:17" x14ac:dyDescent="0.25">
      <c r="A546" t="s">
        <v>595</v>
      </c>
      <c r="B546" t="s">
        <v>413</v>
      </c>
      <c r="C546" t="s">
        <v>541</v>
      </c>
      <c r="D546" t="str">
        <f t="shared" si="2"/>
        <v>K12</v>
      </c>
      <c r="E546" t="str">
        <f t="shared" si="3"/>
        <v>KT</v>
      </c>
      <c r="F546">
        <v>2025</v>
      </c>
      <c r="G546">
        <v>1</v>
      </c>
      <c r="H546" t="s">
        <v>367</v>
      </c>
      <c r="I546" t="s">
        <v>368</v>
      </c>
      <c r="J546">
        <v>3</v>
      </c>
      <c r="Q546" t="s">
        <v>5</v>
      </c>
    </row>
    <row r="547" spans="1:17" x14ac:dyDescent="0.25">
      <c r="A547" t="s">
        <v>595</v>
      </c>
      <c r="B547" t="s">
        <v>413</v>
      </c>
      <c r="C547" t="s">
        <v>541</v>
      </c>
      <c r="D547" t="str">
        <f t="shared" si="2"/>
        <v>K12</v>
      </c>
      <c r="E547" t="str">
        <f t="shared" si="3"/>
        <v>KT</v>
      </c>
      <c r="F547">
        <v>2025</v>
      </c>
      <c r="G547">
        <v>1</v>
      </c>
      <c r="H547" t="s">
        <v>369</v>
      </c>
      <c r="I547" t="s">
        <v>370</v>
      </c>
      <c r="J547">
        <v>3</v>
      </c>
      <c r="Q547" t="s">
        <v>5</v>
      </c>
    </row>
    <row r="548" spans="1:17" x14ac:dyDescent="0.25">
      <c r="A548" t="s">
        <v>595</v>
      </c>
      <c r="B548" t="s">
        <v>413</v>
      </c>
      <c r="C548" t="s">
        <v>541</v>
      </c>
      <c r="D548" t="str">
        <f t="shared" si="2"/>
        <v>K12</v>
      </c>
      <c r="E548" t="str">
        <f t="shared" si="3"/>
        <v>KT</v>
      </c>
      <c r="F548">
        <v>2025</v>
      </c>
      <c r="G548">
        <v>1</v>
      </c>
      <c r="H548" t="s">
        <v>277</v>
      </c>
      <c r="I548" t="s">
        <v>2</v>
      </c>
      <c r="J548">
        <v>1</v>
      </c>
      <c r="Q548" t="s">
        <v>5</v>
      </c>
    </row>
    <row r="549" spans="1:17" x14ac:dyDescent="0.25">
      <c r="A549" t="s">
        <v>595</v>
      </c>
      <c r="B549" t="s">
        <v>413</v>
      </c>
      <c r="C549" t="s">
        <v>541</v>
      </c>
      <c r="D549" t="str">
        <f t="shared" ref="D549:D612" si="4">LEFT(C549,3)</f>
        <v>K12</v>
      </c>
      <c r="E549" t="str">
        <f t="shared" ref="E549:E612" si="5">LEFT(A549,LEN(A549)-4)</f>
        <v>KT</v>
      </c>
      <c r="F549">
        <v>2025</v>
      </c>
      <c r="G549">
        <v>1</v>
      </c>
      <c r="H549" t="s">
        <v>279</v>
      </c>
      <c r="I549" t="s">
        <v>11</v>
      </c>
      <c r="J549">
        <v>3</v>
      </c>
      <c r="Q549" t="s">
        <v>5</v>
      </c>
    </row>
    <row r="550" spans="1:17" x14ac:dyDescent="0.25">
      <c r="A550" t="s">
        <v>595</v>
      </c>
      <c r="B550" t="s">
        <v>413</v>
      </c>
      <c r="C550" t="s">
        <v>541</v>
      </c>
      <c r="D550" t="str">
        <f t="shared" si="4"/>
        <v>K12</v>
      </c>
      <c r="E550" t="str">
        <f t="shared" si="5"/>
        <v>KT</v>
      </c>
      <c r="F550">
        <v>2025</v>
      </c>
      <c r="G550">
        <v>1</v>
      </c>
      <c r="H550" t="s">
        <v>283</v>
      </c>
      <c r="I550" t="s">
        <v>16</v>
      </c>
      <c r="J550">
        <v>3</v>
      </c>
      <c r="Q550" t="s">
        <v>5</v>
      </c>
    </row>
    <row r="551" spans="1:17" x14ac:dyDescent="0.25">
      <c r="A551" t="s">
        <v>595</v>
      </c>
      <c r="B551" t="s">
        <v>413</v>
      </c>
      <c r="C551" t="s">
        <v>541</v>
      </c>
      <c r="D551" t="str">
        <f t="shared" si="4"/>
        <v>K12</v>
      </c>
      <c r="E551" t="str">
        <f t="shared" si="5"/>
        <v>KT</v>
      </c>
      <c r="F551">
        <v>2025</v>
      </c>
      <c r="G551">
        <v>1</v>
      </c>
      <c r="H551" t="s">
        <v>278</v>
      </c>
      <c r="I551" t="s">
        <v>7</v>
      </c>
      <c r="J551">
        <v>3</v>
      </c>
      <c r="Q551" t="s">
        <v>5</v>
      </c>
    </row>
    <row r="552" spans="1:17" x14ac:dyDescent="0.25">
      <c r="A552" t="s">
        <v>595</v>
      </c>
      <c r="B552" t="s">
        <v>413</v>
      </c>
      <c r="C552" t="s">
        <v>541</v>
      </c>
      <c r="D552" t="str">
        <f t="shared" si="4"/>
        <v>K12</v>
      </c>
      <c r="E552" t="str">
        <f t="shared" si="5"/>
        <v>KT</v>
      </c>
      <c r="F552">
        <v>2025</v>
      </c>
      <c r="G552">
        <v>1</v>
      </c>
      <c r="H552" t="s">
        <v>281</v>
      </c>
      <c r="I552" t="s">
        <v>22</v>
      </c>
      <c r="J552">
        <v>2</v>
      </c>
      <c r="Q552" t="s">
        <v>5</v>
      </c>
    </row>
    <row r="553" spans="1:17" x14ac:dyDescent="0.25">
      <c r="A553" t="s">
        <v>595</v>
      </c>
      <c r="B553" t="s">
        <v>413</v>
      </c>
      <c r="C553" t="s">
        <v>541</v>
      </c>
      <c r="D553" t="str">
        <f t="shared" si="4"/>
        <v>K12</v>
      </c>
      <c r="E553" t="str">
        <f t="shared" si="5"/>
        <v>KT</v>
      </c>
      <c r="F553">
        <v>2025</v>
      </c>
      <c r="G553">
        <v>1</v>
      </c>
      <c r="H553" t="s">
        <v>284</v>
      </c>
      <c r="I553" t="s">
        <v>13</v>
      </c>
      <c r="J553">
        <v>3</v>
      </c>
      <c r="Q553" t="s">
        <v>5</v>
      </c>
    </row>
    <row r="554" spans="1:17" x14ac:dyDescent="0.25">
      <c r="A554" t="s">
        <v>595</v>
      </c>
      <c r="B554" t="s">
        <v>413</v>
      </c>
      <c r="C554" t="s">
        <v>541</v>
      </c>
      <c r="D554" t="str">
        <f t="shared" si="4"/>
        <v>K12</v>
      </c>
      <c r="E554" t="str">
        <f t="shared" si="5"/>
        <v>KT</v>
      </c>
      <c r="F554">
        <v>2025</v>
      </c>
      <c r="G554">
        <v>1</v>
      </c>
      <c r="H554" t="s">
        <v>280</v>
      </c>
      <c r="I554" t="s">
        <v>74</v>
      </c>
      <c r="J554">
        <v>2</v>
      </c>
      <c r="K554" t="s">
        <v>14</v>
      </c>
      <c r="Q554" t="s">
        <v>5</v>
      </c>
    </row>
    <row r="555" spans="1:17" x14ac:dyDescent="0.25">
      <c r="A555" t="s">
        <v>595</v>
      </c>
      <c r="B555" t="s">
        <v>413</v>
      </c>
      <c r="C555" t="s">
        <v>541</v>
      </c>
      <c r="D555" t="str">
        <f t="shared" si="4"/>
        <v>K12</v>
      </c>
      <c r="E555" t="str">
        <f t="shared" si="5"/>
        <v>KT</v>
      </c>
      <c r="F555">
        <v>2025</v>
      </c>
      <c r="G555">
        <v>1</v>
      </c>
      <c r="H555" t="s">
        <v>297</v>
      </c>
      <c r="I555" t="s">
        <v>298</v>
      </c>
      <c r="J555">
        <v>2</v>
      </c>
      <c r="K555" t="s">
        <v>14</v>
      </c>
      <c r="Q555" t="s">
        <v>5</v>
      </c>
    </row>
    <row r="556" spans="1:17" x14ac:dyDescent="0.25">
      <c r="A556" t="s">
        <v>146</v>
      </c>
      <c r="B556" t="s">
        <v>542</v>
      </c>
      <c r="C556" t="s">
        <v>543</v>
      </c>
      <c r="D556" t="str">
        <f t="shared" si="4"/>
        <v>K12</v>
      </c>
      <c r="E556" t="str">
        <f t="shared" si="5"/>
        <v>KTDT</v>
      </c>
      <c r="F556">
        <v>2025</v>
      </c>
      <c r="G556">
        <v>1</v>
      </c>
      <c r="H556" t="s">
        <v>367</v>
      </c>
      <c r="I556" t="s">
        <v>368</v>
      </c>
      <c r="J556">
        <v>3</v>
      </c>
      <c r="Q556" t="s">
        <v>5</v>
      </c>
    </row>
    <row r="557" spans="1:17" x14ac:dyDescent="0.25">
      <c r="A557" t="s">
        <v>146</v>
      </c>
      <c r="B557" t="s">
        <v>542</v>
      </c>
      <c r="C557" t="s">
        <v>543</v>
      </c>
      <c r="D557" t="str">
        <f t="shared" si="4"/>
        <v>K12</v>
      </c>
      <c r="E557" t="str">
        <f t="shared" si="5"/>
        <v>KTDT</v>
      </c>
      <c r="F557">
        <v>2025</v>
      </c>
      <c r="G557">
        <v>1</v>
      </c>
      <c r="H557" t="s">
        <v>369</v>
      </c>
      <c r="I557" t="s">
        <v>370</v>
      </c>
      <c r="J557">
        <v>3</v>
      </c>
      <c r="Q557" t="s">
        <v>5</v>
      </c>
    </row>
    <row r="558" spans="1:17" x14ac:dyDescent="0.25">
      <c r="A558" t="s">
        <v>146</v>
      </c>
      <c r="B558" t="s">
        <v>542</v>
      </c>
      <c r="C558" t="s">
        <v>543</v>
      </c>
      <c r="D558" t="str">
        <f t="shared" si="4"/>
        <v>K12</v>
      </c>
      <c r="E558" t="str">
        <f t="shared" si="5"/>
        <v>KTDT</v>
      </c>
      <c r="F558">
        <v>2025</v>
      </c>
      <c r="G558">
        <v>1</v>
      </c>
      <c r="H558" t="s">
        <v>277</v>
      </c>
      <c r="I558" t="s">
        <v>2</v>
      </c>
      <c r="J558">
        <v>1</v>
      </c>
      <c r="Q558" t="s">
        <v>5</v>
      </c>
    </row>
    <row r="559" spans="1:17" x14ac:dyDescent="0.25">
      <c r="A559" t="s">
        <v>146</v>
      </c>
      <c r="B559" t="s">
        <v>542</v>
      </c>
      <c r="C559" t="s">
        <v>543</v>
      </c>
      <c r="D559" t="str">
        <f t="shared" si="4"/>
        <v>K12</v>
      </c>
      <c r="E559" t="str">
        <f t="shared" si="5"/>
        <v>KTDT</v>
      </c>
      <c r="F559">
        <v>2025</v>
      </c>
      <c r="G559">
        <v>1</v>
      </c>
      <c r="H559" t="s">
        <v>371</v>
      </c>
      <c r="I559" t="s">
        <v>262</v>
      </c>
      <c r="J559">
        <v>3</v>
      </c>
      <c r="Q559" t="s">
        <v>5</v>
      </c>
    </row>
    <row r="560" spans="1:17" x14ac:dyDescent="0.25">
      <c r="A560" t="s">
        <v>146</v>
      </c>
      <c r="B560" t="s">
        <v>542</v>
      </c>
      <c r="C560" t="s">
        <v>543</v>
      </c>
      <c r="D560" t="str">
        <f t="shared" si="4"/>
        <v>K12</v>
      </c>
      <c r="E560" t="str">
        <f t="shared" si="5"/>
        <v>KTDT</v>
      </c>
      <c r="F560">
        <v>2025</v>
      </c>
      <c r="G560">
        <v>1</v>
      </c>
      <c r="H560" t="s">
        <v>279</v>
      </c>
      <c r="I560" t="s">
        <v>11</v>
      </c>
      <c r="J560">
        <v>3</v>
      </c>
      <c r="Q560" t="s">
        <v>5</v>
      </c>
    </row>
    <row r="561" spans="1:17" x14ac:dyDescent="0.25">
      <c r="A561" t="s">
        <v>146</v>
      </c>
      <c r="B561" t="s">
        <v>542</v>
      </c>
      <c r="C561" t="s">
        <v>543</v>
      </c>
      <c r="D561" t="str">
        <f t="shared" si="4"/>
        <v>K12</v>
      </c>
      <c r="E561" t="str">
        <f t="shared" si="5"/>
        <v>KTDT</v>
      </c>
      <c r="F561">
        <v>2025</v>
      </c>
      <c r="G561">
        <v>1</v>
      </c>
      <c r="H561" t="s">
        <v>283</v>
      </c>
      <c r="I561" t="s">
        <v>16</v>
      </c>
      <c r="J561">
        <v>3</v>
      </c>
      <c r="Q561" t="s">
        <v>5</v>
      </c>
    </row>
    <row r="562" spans="1:17" x14ac:dyDescent="0.25">
      <c r="A562" t="s">
        <v>146</v>
      </c>
      <c r="B562" t="s">
        <v>542</v>
      </c>
      <c r="C562" t="s">
        <v>543</v>
      </c>
      <c r="D562" t="str">
        <f t="shared" si="4"/>
        <v>K12</v>
      </c>
      <c r="E562" t="str">
        <f t="shared" si="5"/>
        <v>KTDT</v>
      </c>
      <c r="F562">
        <v>2025</v>
      </c>
      <c r="G562">
        <v>1</v>
      </c>
      <c r="H562" t="s">
        <v>278</v>
      </c>
      <c r="I562" t="s">
        <v>7</v>
      </c>
      <c r="J562">
        <v>3</v>
      </c>
      <c r="Q562" t="s">
        <v>5</v>
      </c>
    </row>
    <row r="563" spans="1:17" x14ac:dyDescent="0.25">
      <c r="A563" t="s">
        <v>146</v>
      </c>
      <c r="B563" t="s">
        <v>542</v>
      </c>
      <c r="C563" t="s">
        <v>543</v>
      </c>
      <c r="D563" t="str">
        <f t="shared" si="4"/>
        <v>K12</v>
      </c>
      <c r="E563" t="str">
        <f t="shared" si="5"/>
        <v>KTDT</v>
      </c>
      <c r="F563">
        <v>2025</v>
      </c>
      <c r="G563">
        <v>1</v>
      </c>
      <c r="H563" t="s">
        <v>285</v>
      </c>
      <c r="I563" t="s">
        <v>72</v>
      </c>
      <c r="J563">
        <v>3</v>
      </c>
      <c r="Q563" t="s">
        <v>5</v>
      </c>
    </row>
    <row r="564" spans="1:17" x14ac:dyDescent="0.25">
      <c r="A564" t="s">
        <v>146</v>
      </c>
      <c r="B564" t="s">
        <v>542</v>
      </c>
      <c r="C564" t="s">
        <v>543</v>
      </c>
      <c r="D564" t="str">
        <f t="shared" si="4"/>
        <v>K12</v>
      </c>
      <c r="E564" t="str">
        <f t="shared" si="5"/>
        <v>KTDT</v>
      </c>
      <c r="F564">
        <v>2025</v>
      </c>
      <c r="G564">
        <v>1</v>
      </c>
      <c r="H564" t="s">
        <v>280</v>
      </c>
      <c r="I564" t="s">
        <v>74</v>
      </c>
      <c r="J564">
        <v>2</v>
      </c>
      <c r="K564" t="s">
        <v>398</v>
      </c>
      <c r="Q564" t="s">
        <v>5</v>
      </c>
    </row>
    <row r="565" spans="1:17" x14ac:dyDescent="0.25">
      <c r="A565" t="s">
        <v>146</v>
      </c>
      <c r="B565" t="s">
        <v>542</v>
      </c>
      <c r="C565" t="s">
        <v>543</v>
      </c>
      <c r="D565" t="str">
        <f t="shared" si="4"/>
        <v>K12</v>
      </c>
      <c r="E565" t="str">
        <f t="shared" si="5"/>
        <v>KTDT</v>
      </c>
      <c r="F565">
        <v>2025</v>
      </c>
      <c r="G565">
        <v>1</v>
      </c>
      <c r="H565" t="s">
        <v>297</v>
      </c>
      <c r="I565" t="s">
        <v>298</v>
      </c>
      <c r="J565">
        <v>2</v>
      </c>
      <c r="K565" t="s">
        <v>398</v>
      </c>
      <c r="Q565" t="s">
        <v>5</v>
      </c>
    </row>
    <row r="566" spans="1:17" x14ac:dyDescent="0.25">
      <c r="A566" t="s">
        <v>382</v>
      </c>
      <c r="B566" t="s">
        <v>544</v>
      </c>
      <c r="C566" t="s">
        <v>545</v>
      </c>
      <c r="D566" t="str">
        <f t="shared" si="4"/>
        <v>K12</v>
      </c>
      <c r="E566" t="str">
        <f t="shared" si="5"/>
        <v>MKTS</v>
      </c>
      <c r="F566">
        <v>2025</v>
      </c>
      <c r="G566">
        <v>1</v>
      </c>
      <c r="H566" t="s">
        <v>277</v>
      </c>
      <c r="I566" t="s">
        <v>2</v>
      </c>
      <c r="J566">
        <v>1</v>
      </c>
      <c r="Q566" t="s">
        <v>5</v>
      </c>
    </row>
    <row r="567" spans="1:17" x14ac:dyDescent="0.25">
      <c r="A567" t="s">
        <v>382</v>
      </c>
      <c r="B567" t="s">
        <v>544</v>
      </c>
      <c r="C567" t="s">
        <v>545</v>
      </c>
      <c r="D567" t="str">
        <f t="shared" si="4"/>
        <v>K12</v>
      </c>
      <c r="E567" t="str">
        <f t="shared" si="5"/>
        <v>MKTS</v>
      </c>
      <c r="F567">
        <v>2025</v>
      </c>
      <c r="G567">
        <v>1</v>
      </c>
      <c r="H567" t="s">
        <v>367</v>
      </c>
      <c r="I567" t="s">
        <v>368</v>
      </c>
      <c r="J567">
        <v>3</v>
      </c>
      <c r="Q567" t="s">
        <v>5</v>
      </c>
    </row>
    <row r="568" spans="1:17" x14ac:dyDescent="0.25">
      <c r="A568" t="s">
        <v>382</v>
      </c>
      <c r="B568" t="s">
        <v>544</v>
      </c>
      <c r="C568" t="s">
        <v>545</v>
      </c>
      <c r="D568" t="str">
        <f t="shared" si="4"/>
        <v>K12</v>
      </c>
      <c r="E568" t="str">
        <f t="shared" si="5"/>
        <v>MKTS</v>
      </c>
      <c r="F568">
        <v>2025</v>
      </c>
      <c r="G568">
        <v>1</v>
      </c>
      <c r="H568" t="s">
        <v>369</v>
      </c>
      <c r="I568" t="s">
        <v>370</v>
      </c>
      <c r="J568">
        <v>3</v>
      </c>
      <c r="Q568" t="s">
        <v>5</v>
      </c>
    </row>
    <row r="569" spans="1:17" x14ac:dyDescent="0.25">
      <c r="A569" t="s">
        <v>382</v>
      </c>
      <c r="B569" t="s">
        <v>544</v>
      </c>
      <c r="C569" t="s">
        <v>545</v>
      </c>
      <c r="D569" t="str">
        <f t="shared" si="4"/>
        <v>K12</v>
      </c>
      <c r="E569" t="str">
        <f t="shared" si="5"/>
        <v>MKTS</v>
      </c>
      <c r="F569">
        <v>2025</v>
      </c>
      <c r="G569">
        <v>1</v>
      </c>
      <c r="H569" t="s">
        <v>278</v>
      </c>
      <c r="I569" t="s">
        <v>7</v>
      </c>
      <c r="J569">
        <v>3</v>
      </c>
      <c r="Q569" t="s">
        <v>5</v>
      </c>
    </row>
    <row r="570" spans="1:17" x14ac:dyDescent="0.25">
      <c r="A570" t="s">
        <v>382</v>
      </c>
      <c r="B570" t="s">
        <v>544</v>
      </c>
      <c r="C570" t="s">
        <v>545</v>
      </c>
      <c r="D570" t="str">
        <f t="shared" si="4"/>
        <v>K12</v>
      </c>
      <c r="E570" t="str">
        <f t="shared" si="5"/>
        <v>MKTS</v>
      </c>
      <c r="F570">
        <v>2025</v>
      </c>
      <c r="G570">
        <v>1</v>
      </c>
      <c r="H570" t="s">
        <v>279</v>
      </c>
      <c r="I570" t="s">
        <v>11</v>
      </c>
      <c r="J570">
        <v>3</v>
      </c>
      <c r="Q570" t="s">
        <v>5</v>
      </c>
    </row>
    <row r="571" spans="1:17" x14ac:dyDescent="0.25">
      <c r="A571" t="s">
        <v>382</v>
      </c>
      <c r="B571" t="s">
        <v>544</v>
      </c>
      <c r="C571" t="s">
        <v>545</v>
      </c>
      <c r="D571" t="str">
        <f t="shared" si="4"/>
        <v>K12</v>
      </c>
      <c r="E571" t="str">
        <f t="shared" si="5"/>
        <v>MKTS</v>
      </c>
      <c r="F571">
        <v>2025</v>
      </c>
      <c r="G571">
        <v>1</v>
      </c>
      <c r="H571" t="s">
        <v>285</v>
      </c>
      <c r="I571" t="s">
        <v>72</v>
      </c>
      <c r="J571">
        <v>3</v>
      </c>
      <c r="Q571" t="s">
        <v>5</v>
      </c>
    </row>
    <row r="572" spans="1:17" x14ac:dyDescent="0.25">
      <c r="A572" t="s">
        <v>382</v>
      </c>
      <c r="B572" t="s">
        <v>544</v>
      </c>
      <c r="C572" t="s">
        <v>545</v>
      </c>
      <c r="D572" t="str">
        <f t="shared" si="4"/>
        <v>K12</v>
      </c>
      <c r="E572" t="str">
        <f t="shared" si="5"/>
        <v>MKTS</v>
      </c>
      <c r="F572">
        <v>2025</v>
      </c>
      <c r="G572">
        <v>1</v>
      </c>
      <c r="H572" t="s">
        <v>371</v>
      </c>
      <c r="I572" t="s">
        <v>262</v>
      </c>
      <c r="J572">
        <v>3</v>
      </c>
      <c r="Q572" t="s">
        <v>5</v>
      </c>
    </row>
    <row r="573" spans="1:17" x14ac:dyDescent="0.25">
      <c r="A573" t="s">
        <v>382</v>
      </c>
      <c r="B573" t="s">
        <v>544</v>
      </c>
      <c r="C573" t="s">
        <v>545</v>
      </c>
      <c r="D573" t="str">
        <f t="shared" si="4"/>
        <v>K12</v>
      </c>
      <c r="E573" t="str">
        <f t="shared" si="5"/>
        <v>MKTS</v>
      </c>
      <c r="F573">
        <v>2025</v>
      </c>
      <c r="G573">
        <v>1</v>
      </c>
      <c r="H573" t="s">
        <v>284</v>
      </c>
      <c r="I573" t="s">
        <v>13</v>
      </c>
      <c r="J573">
        <v>3</v>
      </c>
      <c r="Q573" t="s">
        <v>5</v>
      </c>
    </row>
    <row r="574" spans="1:17" x14ac:dyDescent="0.25">
      <c r="A574" t="s">
        <v>382</v>
      </c>
      <c r="B574" t="s">
        <v>544</v>
      </c>
      <c r="C574" t="s">
        <v>545</v>
      </c>
      <c r="D574" t="str">
        <f t="shared" si="4"/>
        <v>K12</v>
      </c>
      <c r="E574" t="str">
        <f t="shared" si="5"/>
        <v>MKTS</v>
      </c>
      <c r="F574">
        <v>2025</v>
      </c>
      <c r="G574">
        <v>1</v>
      </c>
      <c r="H574" t="s">
        <v>281</v>
      </c>
      <c r="I574" t="s">
        <v>22</v>
      </c>
      <c r="J574">
        <v>2</v>
      </c>
      <c r="Q574" t="s">
        <v>5</v>
      </c>
    </row>
    <row r="575" spans="1:17" x14ac:dyDescent="0.25">
      <c r="A575" t="s">
        <v>186</v>
      </c>
      <c r="B575" t="s">
        <v>546</v>
      </c>
      <c r="C575" t="s">
        <v>547</v>
      </c>
      <c r="D575" t="str">
        <f t="shared" si="4"/>
        <v>K12</v>
      </c>
      <c r="E575" t="str">
        <f t="shared" si="5"/>
        <v>NH</v>
      </c>
      <c r="F575">
        <v>2025</v>
      </c>
      <c r="G575">
        <v>1</v>
      </c>
      <c r="H575" t="s">
        <v>277</v>
      </c>
      <c r="I575" t="s">
        <v>2</v>
      </c>
      <c r="J575">
        <v>1</v>
      </c>
      <c r="Q575" t="s">
        <v>5</v>
      </c>
    </row>
    <row r="576" spans="1:17" x14ac:dyDescent="0.25">
      <c r="A576" t="s">
        <v>186</v>
      </c>
      <c r="B576" t="s">
        <v>546</v>
      </c>
      <c r="C576" t="s">
        <v>547</v>
      </c>
      <c r="D576" t="str">
        <f t="shared" si="4"/>
        <v>K12</v>
      </c>
      <c r="E576" t="str">
        <f t="shared" si="5"/>
        <v>NH</v>
      </c>
      <c r="F576">
        <v>2025</v>
      </c>
      <c r="G576">
        <v>1</v>
      </c>
      <c r="H576" t="s">
        <v>367</v>
      </c>
      <c r="I576" t="s">
        <v>368</v>
      </c>
      <c r="J576">
        <v>3</v>
      </c>
      <c r="Q576" t="s">
        <v>5</v>
      </c>
    </row>
    <row r="577" spans="1:17" x14ac:dyDescent="0.25">
      <c r="A577" t="s">
        <v>186</v>
      </c>
      <c r="B577" t="s">
        <v>546</v>
      </c>
      <c r="C577" t="s">
        <v>547</v>
      </c>
      <c r="D577" t="str">
        <f t="shared" si="4"/>
        <v>K12</v>
      </c>
      <c r="E577" t="str">
        <f t="shared" si="5"/>
        <v>NH</v>
      </c>
      <c r="F577">
        <v>2025</v>
      </c>
      <c r="G577">
        <v>1</v>
      </c>
      <c r="H577" t="s">
        <v>369</v>
      </c>
      <c r="I577" t="s">
        <v>370</v>
      </c>
      <c r="J577">
        <v>3</v>
      </c>
      <c r="Q577" t="s">
        <v>5</v>
      </c>
    </row>
    <row r="578" spans="1:17" x14ac:dyDescent="0.25">
      <c r="A578" t="s">
        <v>186</v>
      </c>
      <c r="B578" t="s">
        <v>546</v>
      </c>
      <c r="C578" t="s">
        <v>547</v>
      </c>
      <c r="D578" t="str">
        <f t="shared" si="4"/>
        <v>K12</v>
      </c>
      <c r="E578" t="str">
        <f t="shared" si="5"/>
        <v>NH</v>
      </c>
      <c r="F578">
        <v>2025</v>
      </c>
      <c r="G578">
        <v>1</v>
      </c>
      <c r="H578" t="s">
        <v>278</v>
      </c>
      <c r="I578" t="s">
        <v>7</v>
      </c>
      <c r="J578">
        <v>3</v>
      </c>
      <c r="Q578" t="s">
        <v>5</v>
      </c>
    </row>
    <row r="579" spans="1:17" x14ac:dyDescent="0.25">
      <c r="A579" t="s">
        <v>186</v>
      </c>
      <c r="B579" t="s">
        <v>546</v>
      </c>
      <c r="C579" t="s">
        <v>547</v>
      </c>
      <c r="D579" t="str">
        <f t="shared" si="4"/>
        <v>K12</v>
      </c>
      <c r="E579" t="str">
        <f t="shared" si="5"/>
        <v>NH</v>
      </c>
      <c r="F579">
        <v>2025</v>
      </c>
      <c r="G579">
        <v>1</v>
      </c>
      <c r="H579" t="s">
        <v>279</v>
      </c>
      <c r="I579" t="s">
        <v>11</v>
      </c>
      <c r="J579">
        <v>3</v>
      </c>
      <c r="Q579" t="s">
        <v>5</v>
      </c>
    </row>
    <row r="580" spans="1:17" x14ac:dyDescent="0.25">
      <c r="A580" t="s">
        <v>186</v>
      </c>
      <c r="B580" t="s">
        <v>546</v>
      </c>
      <c r="C580" t="s">
        <v>547</v>
      </c>
      <c r="D580" t="str">
        <f t="shared" si="4"/>
        <v>K12</v>
      </c>
      <c r="E580" t="str">
        <f t="shared" si="5"/>
        <v>NH</v>
      </c>
      <c r="F580">
        <v>2025</v>
      </c>
      <c r="G580">
        <v>1</v>
      </c>
      <c r="H580" t="s">
        <v>283</v>
      </c>
      <c r="I580" t="s">
        <v>16</v>
      </c>
      <c r="J580">
        <v>3</v>
      </c>
      <c r="Q580" t="s">
        <v>5</v>
      </c>
    </row>
    <row r="581" spans="1:17" x14ac:dyDescent="0.25">
      <c r="A581" t="s">
        <v>186</v>
      </c>
      <c r="B581" t="s">
        <v>546</v>
      </c>
      <c r="C581" t="s">
        <v>547</v>
      </c>
      <c r="D581" t="str">
        <f t="shared" si="4"/>
        <v>K12</v>
      </c>
      <c r="E581" t="str">
        <f t="shared" si="5"/>
        <v>NH</v>
      </c>
      <c r="F581">
        <v>2025</v>
      </c>
      <c r="G581">
        <v>1</v>
      </c>
      <c r="H581" t="s">
        <v>284</v>
      </c>
      <c r="I581" t="s">
        <v>13</v>
      </c>
      <c r="J581">
        <v>3</v>
      </c>
      <c r="Q581" t="s">
        <v>5</v>
      </c>
    </row>
    <row r="582" spans="1:17" x14ac:dyDescent="0.25">
      <c r="A582" t="s">
        <v>186</v>
      </c>
      <c r="B582" t="s">
        <v>546</v>
      </c>
      <c r="C582" t="s">
        <v>547</v>
      </c>
      <c r="D582" t="str">
        <f t="shared" si="4"/>
        <v>K12</v>
      </c>
      <c r="E582" t="str">
        <f t="shared" si="5"/>
        <v>NH</v>
      </c>
      <c r="F582">
        <v>2025</v>
      </c>
      <c r="G582">
        <v>1</v>
      </c>
      <c r="H582" t="s">
        <v>281</v>
      </c>
      <c r="I582" t="s">
        <v>22</v>
      </c>
      <c r="J582">
        <v>2</v>
      </c>
      <c r="Q582" t="s">
        <v>5</v>
      </c>
    </row>
    <row r="583" spans="1:17" x14ac:dyDescent="0.25">
      <c r="A583" t="s">
        <v>186</v>
      </c>
      <c r="B583" t="s">
        <v>546</v>
      </c>
      <c r="C583" t="s">
        <v>547</v>
      </c>
      <c r="D583" t="str">
        <f t="shared" si="4"/>
        <v>K12</v>
      </c>
      <c r="E583" t="str">
        <f t="shared" si="5"/>
        <v>NH</v>
      </c>
      <c r="F583">
        <v>2025</v>
      </c>
      <c r="G583">
        <v>1</v>
      </c>
      <c r="H583" t="s">
        <v>280</v>
      </c>
      <c r="I583" t="s">
        <v>74</v>
      </c>
      <c r="J583">
        <v>2</v>
      </c>
      <c r="K583" t="s">
        <v>383</v>
      </c>
      <c r="Q583" t="s">
        <v>5</v>
      </c>
    </row>
    <row r="584" spans="1:17" x14ac:dyDescent="0.25">
      <c r="A584" t="s">
        <v>186</v>
      </c>
      <c r="B584" t="s">
        <v>546</v>
      </c>
      <c r="C584" t="s">
        <v>547</v>
      </c>
      <c r="D584" t="str">
        <f t="shared" si="4"/>
        <v>K12</v>
      </c>
      <c r="E584" t="str">
        <f t="shared" si="5"/>
        <v>NH</v>
      </c>
      <c r="F584">
        <v>2025</v>
      </c>
      <c r="G584">
        <v>1</v>
      </c>
      <c r="H584" t="s">
        <v>297</v>
      </c>
      <c r="I584" t="s">
        <v>298</v>
      </c>
      <c r="J584">
        <v>2</v>
      </c>
      <c r="K584" t="s">
        <v>383</v>
      </c>
      <c r="Q584" t="s">
        <v>5</v>
      </c>
    </row>
    <row r="585" spans="1:17" x14ac:dyDescent="0.25">
      <c r="A585" t="s">
        <v>386</v>
      </c>
      <c r="B585" t="s">
        <v>548</v>
      </c>
      <c r="C585" t="s">
        <v>549</v>
      </c>
      <c r="D585" t="str">
        <f t="shared" si="4"/>
        <v>K12</v>
      </c>
      <c r="E585" t="str">
        <f t="shared" si="5"/>
        <v>NHTCQT</v>
      </c>
      <c r="F585">
        <v>2025</v>
      </c>
      <c r="G585">
        <v>1</v>
      </c>
      <c r="H585" t="s">
        <v>277</v>
      </c>
      <c r="I585" t="s">
        <v>2</v>
      </c>
      <c r="J585">
        <v>1</v>
      </c>
      <c r="Q585" t="s">
        <v>5</v>
      </c>
    </row>
    <row r="586" spans="1:17" x14ac:dyDescent="0.25">
      <c r="A586" t="s">
        <v>386</v>
      </c>
      <c r="B586" t="s">
        <v>548</v>
      </c>
      <c r="C586" t="s">
        <v>549</v>
      </c>
      <c r="D586" t="str">
        <f t="shared" si="4"/>
        <v>K12</v>
      </c>
      <c r="E586" t="str">
        <f t="shared" si="5"/>
        <v>NHTCQT</v>
      </c>
      <c r="F586">
        <v>2025</v>
      </c>
      <c r="G586">
        <v>1</v>
      </c>
      <c r="H586" t="s">
        <v>367</v>
      </c>
      <c r="I586" t="s">
        <v>368</v>
      </c>
      <c r="J586">
        <v>3</v>
      </c>
      <c r="Q586" t="s">
        <v>5</v>
      </c>
    </row>
    <row r="587" spans="1:17" x14ac:dyDescent="0.25">
      <c r="A587" t="s">
        <v>386</v>
      </c>
      <c r="B587" t="s">
        <v>548</v>
      </c>
      <c r="C587" t="s">
        <v>549</v>
      </c>
      <c r="D587" t="str">
        <f t="shared" si="4"/>
        <v>K12</v>
      </c>
      <c r="E587" t="str">
        <f t="shared" si="5"/>
        <v>NHTCQT</v>
      </c>
      <c r="F587">
        <v>2025</v>
      </c>
      <c r="G587">
        <v>1</v>
      </c>
      <c r="H587" t="s">
        <v>369</v>
      </c>
      <c r="I587" t="s">
        <v>370</v>
      </c>
      <c r="J587">
        <v>3</v>
      </c>
      <c r="Q587" t="s">
        <v>5</v>
      </c>
    </row>
    <row r="588" spans="1:17" x14ac:dyDescent="0.25">
      <c r="A588" t="s">
        <v>386</v>
      </c>
      <c r="B588" t="s">
        <v>548</v>
      </c>
      <c r="C588" t="s">
        <v>549</v>
      </c>
      <c r="D588" t="str">
        <f t="shared" si="4"/>
        <v>K12</v>
      </c>
      <c r="E588" t="str">
        <f t="shared" si="5"/>
        <v>NHTCQT</v>
      </c>
      <c r="F588">
        <v>2025</v>
      </c>
      <c r="G588">
        <v>1</v>
      </c>
      <c r="H588" t="s">
        <v>278</v>
      </c>
      <c r="I588" t="s">
        <v>7</v>
      </c>
      <c r="J588">
        <v>3</v>
      </c>
      <c r="Q588" t="s">
        <v>5</v>
      </c>
    </row>
    <row r="589" spans="1:17" x14ac:dyDescent="0.25">
      <c r="A589" t="s">
        <v>386</v>
      </c>
      <c r="B589" t="s">
        <v>548</v>
      </c>
      <c r="C589" t="s">
        <v>549</v>
      </c>
      <c r="D589" t="str">
        <f t="shared" si="4"/>
        <v>K12</v>
      </c>
      <c r="E589" t="str">
        <f t="shared" si="5"/>
        <v>NHTCQT</v>
      </c>
      <c r="F589">
        <v>2025</v>
      </c>
      <c r="G589">
        <v>1</v>
      </c>
      <c r="H589" t="s">
        <v>279</v>
      </c>
      <c r="I589" t="s">
        <v>11</v>
      </c>
      <c r="J589">
        <v>3</v>
      </c>
      <c r="Q589" t="s">
        <v>5</v>
      </c>
    </row>
    <row r="590" spans="1:17" x14ac:dyDescent="0.25">
      <c r="A590" t="s">
        <v>386</v>
      </c>
      <c r="B590" t="s">
        <v>548</v>
      </c>
      <c r="C590" t="s">
        <v>549</v>
      </c>
      <c r="D590" t="str">
        <f t="shared" si="4"/>
        <v>K12</v>
      </c>
      <c r="E590" t="str">
        <f t="shared" si="5"/>
        <v>NHTCQT</v>
      </c>
      <c r="F590">
        <v>2025</v>
      </c>
      <c r="G590">
        <v>1</v>
      </c>
      <c r="H590" t="s">
        <v>283</v>
      </c>
      <c r="I590" t="s">
        <v>16</v>
      </c>
      <c r="J590">
        <v>3</v>
      </c>
      <c r="Q590" t="s">
        <v>5</v>
      </c>
    </row>
    <row r="591" spans="1:17" x14ac:dyDescent="0.25">
      <c r="A591" t="s">
        <v>386</v>
      </c>
      <c r="B591" t="s">
        <v>548</v>
      </c>
      <c r="C591" t="s">
        <v>549</v>
      </c>
      <c r="D591" t="str">
        <f t="shared" si="4"/>
        <v>K12</v>
      </c>
      <c r="E591" t="str">
        <f t="shared" si="5"/>
        <v>NHTCQT</v>
      </c>
      <c r="F591">
        <v>2025</v>
      </c>
      <c r="G591">
        <v>1</v>
      </c>
      <c r="H591" t="s">
        <v>285</v>
      </c>
      <c r="I591" t="s">
        <v>72</v>
      </c>
      <c r="J591">
        <v>3</v>
      </c>
      <c r="Q591" t="s">
        <v>5</v>
      </c>
    </row>
    <row r="592" spans="1:17" x14ac:dyDescent="0.25">
      <c r="A592" t="s">
        <v>386</v>
      </c>
      <c r="B592" t="s">
        <v>548</v>
      </c>
      <c r="C592" t="s">
        <v>549</v>
      </c>
      <c r="D592" t="str">
        <f t="shared" si="4"/>
        <v>K12</v>
      </c>
      <c r="E592" t="str">
        <f t="shared" si="5"/>
        <v>NHTCQT</v>
      </c>
      <c r="F592">
        <v>2025</v>
      </c>
      <c r="G592">
        <v>1</v>
      </c>
      <c r="H592" t="s">
        <v>371</v>
      </c>
      <c r="I592" t="s">
        <v>262</v>
      </c>
      <c r="J592">
        <v>3</v>
      </c>
      <c r="Q592" t="s">
        <v>5</v>
      </c>
    </row>
    <row r="593" spans="1:17" x14ac:dyDescent="0.25">
      <c r="A593" t="s">
        <v>386</v>
      </c>
      <c r="B593" t="s">
        <v>548</v>
      </c>
      <c r="C593" t="s">
        <v>549</v>
      </c>
      <c r="D593" t="str">
        <f t="shared" si="4"/>
        <v>K12</v>
      </c>
      <c r="E593" t="str">
        <f t="shared" si="5"/>
        <v>NHTCQT</v>
      </c>
      <c r="F593">
        <v>2025</v>
      </c>
      <c r="G593">
        <v>1</v>
      </c>
      <c r="H593" t="s">
        <v>281</v>
      </c>
      <c r="I593" t="s">
        <v>22</v>
      </c>
      <c r="J593">
        <v>2</v>
      </c>
      <c r="Q593" t="s">
        <v>5</v>
      </c>
    </row>
    <row r="594" spans="1:17" x14ac:dyDescent="0.25">
      <c r="A594" t="s">
        <v>402</v>
      </c>
      <c r="B594" t="s">
        <v>550</v>
      </c>
      <c r="C594" t="s">
        <v>551</v>
      </c>
      <c r="D594" t="str">
        <f t="shared" si="4"/>
        <v>K12</v>
      </c>
      <c r="E594" t="str">
        <f t="shared" si="5"/>
        <v>NHTWCSC</v>
      </c>
      <c r="F594">
        <v>2025</v>
      </c>
      <c r="G594">
        <v>1</v>
      </c>
      <c r="H594" t="s">
        <v>277</v>
      </c>
      <c r="I594" t="s">
        <v>2</v>
      </c>
      <c r="J594">
        <v>1</v>
      </c>
      <c r="Q594" t="s">
        <v>5</v>
      </c>
    </row>
    <row r="595" spans="1:17" x14ac:dyDescent="0.25">
      <c r="A595" t="s">
        <v>402</v>
      </c>
      <c r="B595" t="s">
        <v>550</v>
      </c>
      <c r="C595" t="s">
        <v>551</v>
      </c>
      <c r="D595" t="str">
        <f t="shared" si="4"/>
        <v>K12</v>
      </c>
      <c r="E595" t="str">
        <f t="shared" si="5"/>
        <v>NHTWCSC</v>
      </c>
      <c r="F595">
        <v>2025</v>
      </c>
      <c r="G595">
        <v>1</v>
      </c>
      <c r="H595" t="s">
        <v>367</v>
      </c>
      <c r="I595" t="s">
        <v>368</v>
      </c>
      <c r="J595">
        <v>3</v>
      </c>
      <c r="Q595" t="s">
        <v>5</v>
      </c>
    </row>
    <row r="596" spans="1:17" x14ac:dyDescent="0.25">
      <c r="A596" t="s">
        <v>402</v>
      </c>
      <c r="B596" t="s">
        <v>550</v>
      </c>
      <c r="C596" t="s">
        <v>551</v>
      </c>
      <c r="D596" t="str">
        <f t="shared" si="4"/>
        <v>K12</v>
      </c>
      <c r="E596" t="str">
        <f t="shared" si="5"/>
        <v>NHTWCSC</v>
      </c>
      <c r="F596">
        <v>2025</v>
      </c>
      <c r="G596">
        <v>1</v>
      </c>
      <c r="H596" t="s">
        <v>369</v>
      </c>
      <c r="I596" t="s">
        <v>370</v>
      </c>
      <c r="J596">
        <v>3</v>
      </c>
      <c r="Q596" t="s">
        <v>5</v>
      </c>
    </row>
    <row r="597" spans="1:17" x14ac:dyDescent="0.25">
      <c r="A597" t="s">
        <v>402</v>
      </c>
      <c r="B597" t="s">
        <v>550</v>
      </c>
      <c r="C597" t="s">
        <v>551</v>
      </c>
      <c r="D597" t="str">
        <f t="shared" si="4"/>
        <v>K12</v>
      </c>
      <c r="E597" t="str">
        <f t="shared" si="5"/>
        <v>NHTWCSC</v>
      </c>
      <c r="F597">
        <v>2025</v>
      </c>
      <c r="G597">
        <v>1</v>
      </c>
      <c r="H597" t="s">
        <v>278</v>
      </c>
      <c r="I597" t="s">
        <v>7</v>
      </c>
      <c r="J597">
        <v>3</v>
      </c>
      <c r="Q597" t="s">
        <v>5</v>
      </c>
    </row>
    <row r="598" spans="1:17" x14ac:dyDescent="0.25">
      <c r="A598" t="s">
        <v>402</v>
      </c>
      <c r="B598" t="s">
        <v>550</v>
      </c>
      <c r="C598" t="s">
        <v>551</v>
      </c>
      <c r="D598" t="str">
        <f t="shared" si="4"/>
        <v>K12</v>
      </c>
      <c r="E598" t="str">
        <f t="shared" si="5"/>
        <v>NHTWCSC</v>
      </c>
      <c r="F598">
        <v>2025</v>
      </c>
      <c r="G598">
        <v>1</v>
      </c>
      <c r="H598" t="s">
        <v>279</v>
      </c>
      <c r="I598" t="s">
        <v>11</v>
      </c>
      <c r="J598">
        <v>3</v>
      </c>
      <c r="Q598" t="s">
        <v>5</v>
      </c>
    </row>
    <row r="599" spans="1:17" x14ac:dyDescent="0.25">
      <c r="A599" t="s">
        <v>402</v>
      </c>
      <c r="B599" t="s">
        <v>550</v>
      </c>
      <c r="C599" t="s">
        <v>551</v>
      </c>
      <c r="D599" t="str">
        <f t="shared" si="4"/>
        <v>K12</v>
      </c>
      <c r="E599" t="str">
        <f t="shared" si="5"/>
        <v>NHTWCSC</v>
      </c>
      <c r="F599">
        <v>2025</v>
      </c>
      <c r="G599">
        <v>1</v>
      </c>
      <c r="H599" t="s">
        <v>284</v>
      </c>
      <c r="I599" t="s">
        <v>13</v>
      </c>
      <c r="J599">
        <v>3</v>
      </c>
      <c r="Q599" t="s">
        <v>5</v>
      </c>
    </row>
    <row r="600" spans="1:17" x14ac:dyDescent="0.25">
      <c r="A600" t="s">
        <v>402</v>
      </c>
      <c r="B600" t="s">
        <v>550</v>
      </c>
      <c r="C600" t="s">
        <v>551</v>
      </c>
      <c r="D600" t="str">
        <f t="shared" si="4"/>
        <v>K12</v>
      </c>
      <c r="E600" t="str">
        <f t="shared" si="5"/>
        <v>NHTWCSC</v>
      </c>
      <c r="F600">
        <v>2025</v>
      </c>
      <c r="G600">
        <v>1</v>
      </c>
      <c r="H600" t="s">
        <v>371</v>
      </c>
      <c r="I600" t="s">
        <v>262</v>
      </c>
      <c r="J600">
        <v>3</v>
      </c>
      <c r="Q600" t="s">
        <v>5</v>
      </c>
    </row>
    <row r="601" spans="1:17" x14ac:dyDescent="0.25">
      <c r="A601" t="s">
        <v>402</v>
      </c>
      <c r="B601" t="s">
        <v>550</v>
      </c>
      <c r="C601" t="s">
        <v>551</v>
      </c>
      <c r="D601" t="str">
        <f t="shared" si="4"/>
        <v>K12</v>
      </c>
      <c r="E601" t="str">
        <f t="shared" si="5"/>
        <v>NHTWCSC</v>
      </c>
      <c r="F601">
        <v>2025</v>
      </c>
      <c r="G601">
        <v>1</v>
      </c>
      <c r="H601" t="s">
        <v>373</v>
      </c>
      <c r="I601" t="s">
        <v>20</v>
      </c>
      <c r="J601">
        <v>3</v>
      </c>
      <c r="Q601" t="s">
        <v>5</v>
      </c>
    </row>
    <row r="602" spans="1:17" x14ac:dyDescent="0.25">
      <c r="A602" t="s">
        <v>402</v>
      </c>
      <c r="B602" t="s">
        <v>550</v>
      </c>
      <c r="C602" t="s">
        <v>551</v>
      </c>
      <c r="D602" t="str">
        <f t="shared" si="4"/>
        <v>K12</v>
      </c>
      <c r="E602" t="str">
        <f t="shared" si="5"/>
        <v>NHTWCSC</v>
      </c>
      <c r="F602">
        <v>2025</v>
      </c>
      <c r="G602">
        <v>1</v>
      </c>
      <c r="H602" t="s">
        <v>280</v>
      </c>
      <c r="I602" t="s">
        <v>74</v>
      </c>
      <c r="J602">
        <v>2</v>
      </c>
      <c r="K602" t="s">
        <v>398</v>
      </c>
      <c r="Q602" t="s">
        <v>5</v>
      </c>
    </row>
    <row r="603" spans="1:17" x14ac:dyDescent="0.25">
      <c r="A603" t="s">
        <v>402</v>
      </c>
      <c r="B603" t="s">
        <v>550</v>
      </c>
      <c r="C603" t="s">
        <v>551</v>
      </c>
      <c r="D603" t="str">
        <f t="shared" si="4"/>
        <v>K12</v>
      </c>
      <c r="E603" t="str">
        <f t="shared" si="5"/>
        <v>NHTWCSC</v>
      </c>
      <c r="F603">
        <v>2025</v>
      </c>
      <c r="G603">
        <v>1</v>
      </c>
      <c r="H603" t="s">
        <v>297</v>
      </c>
      <c r="I603" t="s">
        <v>298</v>
      </c>
      <c r="J603">
        <v>2</v>
      </c>
      <c r="K603" t="s">
        <v>398</v>
      </c>
      <c r="Q603" t="s">
        <v>5</v>
      </c>
    </row>
    <row r="604" spans="1:17" x14ac:dyDescent="0.25">
      <c r="A604" t="s">
        <v>202</v>
      </c>
      <c r="B604" t="s">
        <v>552</v>
      </c>
      <c r="C604" t="s">
        <v>553</v>
      </c>
      <c r="D604" t="str">
        <f t="shared" si="4"/>
        <v>K12</v>
      </c>
      <c r="E604" t="str">
        <f t="shared" si="5"/>
        <v>NNA</v>
      </c>
      <c r="F604">
        <v>2025</v>
      </c>
      <c r="G604">
        <v>1</v>
      </c>
      <c r="H604" t="s">
        <v>403</v>
      </c>
      <c r="I604" t="s">
        <v>206</v>
      </c>
      <c r="J604">
        <v>2</v>
      </c>
      <c r="Q604" t="s">
        <v>5</v>
      </c>
    </row>
    <row r="605" spans="1:17" x14ac:dyDescent="0.25">
      <c r="A605" t="s">
        <v>202</v>
      </c>
      <c r="B605" t="s">
        <v>552</v>
      </c>
      <c r="C605" t="s">
        <v>553</v>
      </c>
      <c r="D605" t="str">
        <f t="shared" si="4"/>
        <v>K12</v>
      </c>
      <c r="E605" t="str">
        <f t="shared" si="5"/>
        <v>NNA</v>
      </c>
      <c r="F605">
        <v>2025</v>
      </c>
      <c r="G605">
        <v>1</v>
      </c>
      <c r="H605" t="s">
        <v>404</v>
      </c>
      <c r="I605" t="s">
        <v>405</v>
      </c>
      <c r="J605">
        <v>3</v>
      </c>
      <c r="Q605" t="s">
        <v>5</v>
      </c>
    </row>
    <row r="606" spans="1:17" x14ac:dyDescent="0.25">
      <c r="A606" t="s">
        <v>202</v>
      </c>
      <c r="B606" t="s">
        <v>552</v>
      </c>
      <c r="C606" t="s">
        <v>553</v>
      </c>
      <c r="D606" t="str">
        <f t="shared" si="4"/>
        <v>K12</v>
      </c>
      <c r="E606" t="str">
        <f t="shared" si="5"/>
        <v>NNA</v>
      </c>
      <c r="F606">
        <v>2025</v>
      </c>
      <c r="G606">
        <v>1</v>
      </c>
      <c r="H606" t="s">
        <v>406</v>
      </c>
      <c r="I606" t="s">
        <v>407</v>
      </c>
      <c r="J606">
        <v>3</v>
      </c>
      <c r="Q606" t="s">
        <v>5</v>
      </c>
    </row>
    <row r="607" spans="1:17" x14ac:dyDescent="0.25">
      <c r="A607" t="s">
        <v>202</v>
      </c>
      <c r="B607" t="s">
        <v>552</v>
      </c>
      <c r="C607" t="s">
        <v>553</v>
      </c>
      <c r="D607" t="str">
        <f t="shared" si="4"/>
        <v>K12</v>
      </c>
      <c r="E607" t="str">
        <f t="shared" si="5"/>
        <v>NNA</v>
      </c>
      <c r="F607">
        <v>2025</v>
      </c>
      <c r="G607">
        <v>1</v>
      </c>
      <c r="H607" t="s">
        <v>408</v>
      </c>
      <c r="I607" t="s">
        <v>409</v>
      </c>
      <c r="J607">
        <v>3</v>
      </c>
      <c r="Q607" t="s">
        <v>5</v>
      </c>
    </row>
    <row r="608" spans="1:17" x14ac:dyDescent="0.25">
      <c r="A608" t="s">
        <v>202</v>
      </c>
      <c r="B608" t="s">
        <v>552</v>
      </c>
      <c r="C608" t="s">
        <v>553</v>
      </c>
      <c r="D608" t="str">
        <f t="shared" si="4"/>
        <v>K12</v>
      </c>
      <c r="E608" t="str">
        <f t="shared" si="5"/>
        <v>NNA</v>
      </c>
      <c r="F608">
        <v>2025</v>
      </c>
      <c r="G608">
        <v>1</v>
      </c>
      <c r="H608" t="s">
        <v>410</v>
      </c>
      <c r="I608" t="s">
        <v>411</v>
      </c>
      <c r="J608">
        <v>3</v>
      </c>
      <c r="Q608" t="s">
        <v>5</v>
      </c>
    </row>
    <row r="609" spans="1:17" x14ac:dyDescent="0.25">
      <c r="A609" t="s">
        <v>202</v>
      </c>
      <c r="B609" t="s">
        <v>552</v>
      </c>
      <c r="C609" t="s">
        <v>553</v>
      </c>
      <c r="D609" t="str">
        <f t="shared" si="4"/>
        <v>K12</v>
      </c>
      <c r="E609" t="str">
        <f t="shared" si="5"/>
        <v>NNA</v>
      </c>
      <c r="F609">
        <v>2025</v>
      </c>
      <c r="G609">
        <v>1</v>
      </c>
      <c r="H609" t="s">
        <v>279</v>
      </c>
      <c r="I609" t="s">
        <v>11</v>
      </c>
      <c r="J609">
        <v>3</v>
      </c>
      <c r="Q609" t="s">
        <v>5</v>
      </c>
    </row>
    <row r="610" spans="1:17" x14ac:dyDescent="0.25">
      <c r="A610" t="s">
        <v>243</v>
      </c>
      <c r="B610" t="s">
        <v>554</v>
      </c>
      <c r="C610" t="s">
        <v>555</v>
      </c>
      <c r="D610" t="str">
        <f t="shared" si="4"/>
        <v>K12</v>
      </c>
      <c r="E610" t="str">
        <f t="shared" si="5"/>
        <v>QTKD</v>
      </c>
      <c r="F610">
        <v>2025</v>
      </c>
      <c r="G610">
        <v>1</v>
      </c>
      <c r="H610" t="s">
        <v>367</v>
      </c>
      <c r="I610" t="s">
        <v>368</v>
      </c>
      <c r="J610">
        <v>3</v>
      </c>
      <c r="Q610" t="s">
        <v>5</v>
      </c>
    </row>
    <row r="611" spans="1:17" x14ac:dyDescent="0.25">
      <c r="A611" t="s">
        <v>243</v>
      </c>
      <c r="B611" t="s">
        <v>554</v>
      </c>
      <c r="C611" t="s">
        <v>555</v>
      </c>
      <c r="D611" t="str">
        <f t="shared" si="4"/>
        <v>K12</v>
      </c>
      <c r="E611" t="str">
        <f t="shared" si="5"/>
        <v>QTKD</v>
      </c>
      <c r="F611">
        <v>2025</v>
      </c>
      <c r="G611">
        <v>1</v>
      </c>
      <c r="H611" t="s">
        <v>369</v>
      </c>
      <c r="I611" t="s">
        <v>370</v>
      </c>
      <c r="J611">
        <v>3</v>
      </c>
      <c r="Q611" t="s">
        <v>5</v>
      </c>
    </row>
    <row r="612" spans="1:17" x14ac:dyDescent="0.25">
      <c r="A612" t="s">
        <v>243</v>
      </c>
      <c r="B612" t="s">
        <v>554</v>
      </c>
      <c r="C612" t="s">
        <v>555</v>
      </c>
      <c r="D612" t="str">
        <f t="shared" si="4"/>
        <v>K12</v>
      </c>
      <c r="E612" t="str">
        <f t="shared" si="5"/>
        <v>QTKD</v>
      </c>
      <c r="F612">
        <v>2025</v>
      </c>
      <c r="G612">
        <v>1</v>
      </c>
      <c r="H612" t="s">
        <v>277</v>
      </c>
      <c r="I612" t="s">
        <v>2</v>
      </c>
      <c r="J612">
        <v>1</v>
      </c>
      <c r="Q612" t="s">
        <v>5</v>
      </c>
    </row>
    <row r="613" spans="1:17" x14ac:dyDescent="0.25">
      <c r="A613" t="s">
        <v>243</v>
      </c>
      <c r="B613" t="s">
        <v>554</v>
      </c>
      <c r="C613" t="s">
        <v>555</v>
      </c>
      <c r="D613" t="str">
        <f t="shared" ref="D613:D638" si="6">LEFT(C613,3)</f>
        <v>K12</v>
      </c>
      <c r="E613" t="str">
        <f t="shared" ref="E613:E638" si="7">LEFT(A613,LEN(A613)-4)</f>
        <v>QTKD</v>
      </c>
      <c r="F613">
        <v>2025</v>
      </c>
      <c r="G613">
        <v>1</v>
      </c>
      <c r="H613" t="s">
        <v>278</v>
      </c>
      <c r="I613" t="s">
        <v>7</v>
      </c>
      <c r="J613">
        <v>3</v>
      </c>
      <c r="Q613" t="s">
        <v>5</v>
      </c>
    </row>
    <row r="614" spans="1:17" x14ac:dyDescent="0.25">
      <c r="A614" t="s">
        <v>243</v>
      </c>
      <c r="B614" t="s">
        <v>554</v>
      </c>
      <c r="C614" t="s">
        <v>555</v>
      </c>
      <c r="D614" t="str">
        <f t="shared" si="6"/>
        <v>K12</v>
      </c>
      <c r="E614" t="str">
        <f t="shared" si="7"/>
        <v>QTKD</v>
      </c>
      <c r="F614">
        <v>2025</v>
      </c>
      <c r="G614">
        <v>1</v>
      </c>
      <c r="H614" t="s">
        <v>283</v>
      </c>
      <c r="I614" t="s">
        <v>16</v>
      </c>
      <c r="J614">
        <v>3</v>
      </c>
      <c r="Q614" t="s">
        <v>5</v>
      </c>
    </row>
    <row r="615" spans="1:17" x14ac:dyDescent="0.25">
      <c r="A615" t="s">
        <v>243</v>
      </c>
      <c r="B615" t="s">
        <v>554</v>
      </c>
      <c r="C615" t="s">
        <v>555</v>
      </c>
      <c r="D615" t="str">
        <f t="shared" si="6"/>
        <v>K12</v>
      </c>
      <c r="E615" t="str">
        <f t="shared" si="7"/>
        <v>QTKD</v>
      </c>
      <c r="F615">
        <v>2025</v>
      </c>
      <c r="G615">
        <v>1</v>
      </c>
      <c r="H615" t="s">
        <v>371</v>
      </c>
      <c r="I615" t="s">
        <v>262</v>
      </c>
      <c r="J615">
        <v>3</v>
      </c>
      <c r="Q615" t="s">
        <v>5</v>
      </c>
    </row>
    <row r="616" spans="1:17" x14ac:dyDescent="0.25">
      <c r="A616" t="s">
        <v>243</v>
      </c>
      <c r="B616" t="s">
        <v>554</v>
      </c>
      <c r="C616" t="s">
        <v>555</v>
      </c>
      <c r="D616" t="str">
        <f t="shared" si="6"/>
        <v>K12</v>
      </c>
      <c r="E616" t="str">
        <f t="shared" si="7"/>
        <v>QTKD</v>
      </c>
      <c r="F616">
        <v>2025</v>
      </c>
      <c r="G616">
        <v>1</v>
      </c>
      <c r="H616" t="s">
        <v>279</v>
      </c>
      <c r="I616" t="s">
        <v>11</v>
      </c>
      <c r="J616">
        <v>3</v>
      </c>
      <c r="Q616" t="s">
        <v>5</v>
      </c>
    </row>
    <row r="617" spans="1:17" x14ac:dyDescent="0.25">
      <c r="A617" t="s">
        <v>243</v>
      </c>
      <c r="B617" t="s">
        <v>554</v>
      </c>
      <c r="C617" t="s">
        <v>555</v>
      </c>
      <c r="D617" t="str">
        <f t="shared" si="6"/>
        <v>K12</v>
      </c>
      <c r="E617" t="str">
        <f t="shared" si="7"/>
        <v>QTKD</v>
      </c>
      <c r="F617">
        <v>2025</v>
      </c>
      <c r="G617">
        <v>1</v>
      </c>
      <c r="H617" t="s">
        <v>280</v>
      </c>
      <c r="I617" t="s">
        <v>74</v>
      </c>
      <c r="J617">
        <v>2</v>
      </c>
      <c r="K617" t="s">
        <v>81</v>
      </c>
      <c r="Q617" t="s">
        <v>5</v>
      </c>
    </row>
    <row r="618" spans="1:17" x14ac:dyDescent="0.25">
      <c r="A618" t="s">
        <v>243</v>
      </c>
      <c r="B618" t="s">
        <v>554</v>
      </c>
      <c r="C618" t="s">
        <v>555</v>
      </c>
      <c r="D618" t="str">
        <f t="shared" si="6"/>
        <v>K12</v>
      </c>
      <c r="E618" t="str">
        <f t="shared" si="7"/>
        <v>QTKD</v>
      </c>
      <c r="F618">
        <v>2025</v>
      </c>
      <c r="G618">
        <v>1</v>
      </c>
      <c r="H618" t="s">
        <v>297</v>
      </c>
      <c r="I618" t="s">
        <v>298</v>
      </c>
      <c r="J618">
        <v>2</v>
      </c>
      <c r="K618" t="s">
        <v>81</v>
      </c>
      <c r="Q618" t="s">
        <v>5</v>
      </c>
    </row>
    <row r="619" spans="1:17" x14ac:dyDescent="0.25">
      <c r="A619" t="s">
        <v>243</v>
      </c>
      <c r="B619" t="s">
        <v>554</v>
      </c>
      <c r="C619" t="s">
        <v>555</v>
      </c>
      <c r="D619" t="str">
        <f t="shared" si="6"/>
        <v>K12</v>
      </c>
      <c r="E619" t="str">
        <f t="shared" si="7"/>
        <v>QTKD</v>
      </c>
      <c r="F619">
        <v>2025</v>
      </c>
      <c r="G619">
        <v>1</v>
      </c>
      <c r="H619" t="s">
        <v>284</v>
      </c>
      <c r="I619" t="s">
        <v>13</v>
      </c>
      <c r="J619">
        <v>3</v>
      </c>
      <c r="Q619" t="s">
        <v>5</v>
      </c>
    </row>
    <row r="620" spans="1:17" x14ac:dyDescent="0.25">
      <c r="A620" t="s">
        <v>252</v>
      </c>
      <c r="B620" t="s">
        <v>556</v>
      </c>
      <c r="C620" t="s">
        <v>557</v>
      </c>
      <c r="D620" t="str">
        <f t="shared" si="6"/>
        <v>K12</v>
      </c>
      <c r="E620" t="str">
        <f t="shared" si="7"/>
        <v>TC</v>
      </c>
      <c r="F620">
        <v>2025</v>
      </c>
      <c r="G620">
        <v>1</v>
      </c>
      <c r="H620" t="s">
        <v>277</v>
      </c>
      <c r="I620" t="s">
        <v>2</v>
      </c>
      <c r="J620">
        <v>1</v>
      </c>
      <c r="Q620" t="s">
        <v>5</v>
      </c>
    </row>
    <row r="621" spans="1:17" x14ac:dyDescent="0.25">
      <c r="A621" t="s">
        <v>252</v>
      </c>
      <c r="B621" t="s">
        <v>556</v>
      </c>
      <c r="C621" t="s">
        <v>557</v>
      </c>
      <c r="D621" t="str">
        <f t="shared" si="6"/>
        <v>K12</v>
      </c>
      <c r="E621" t="str">
        <f t="shared" si="7"/>
        <v>TC</v>
      </c>
      <c r="F621">
        <v>2025</v>
      </c>
      <c r="G621">
        <v>1</v>
      </c>
      <c r="H621" t="s">
        <v>367</v>
      </c>
      <c r="I621" t="s">
        <v>368</v>
      </c>
      <c r="J621">
        <v>3</v>
      </c>
      <c r="Q621" t="s">
        <v>5</v>
      </c>
    </row>
    <row r="622" spans="1:17" x14ac:dyDescent="0.25">
      <c r="A622" t="s">
        <v>252</v>
      </c>
      <c r="B622" t="s">
        <v>556</v>
      </c>
      <c r="C622" t="s">
        <v>557</v>
      </c>
      <c r="D622" t="str">
        <f t="shared" si="6"/>
        <v>K12</v>
      </c>
      <c r="E622" t="str">
        <f t="shared" si="7"/>
        <v>TC</v>
      </c>
      <c r="F622">
        <v>2025</v>
      </c>
      <c r="G622">
        <v>1</v>
      </c>
      <c r="H622" t="s">
        <v>369</v>
      </c>
      <c r="I622" t="s">
        <v>370</v>
      </c>
      <c r="J622">
        <v>3</v>
      </c>
      <c r="Q622" t="s">
        <v>5</v>
      </c>
    </row>
    <row r="623" spans="1:17" x14ac:dyDescent="0.25">
      <c r="A623" t="s">
        <v>252</v>
      </c>
      <c r="B623" t="s">
        <v>556</v>
      </c>
      <c r="C623" t="s">
        <v>557</v>
      </c>
      <c r="D623" t="str">
        <f t="shared" si="6"/>
        <v>K12</v>
      </c>
      <c r="E623" t="str">
        <f t="shared" si="7"/>
        <v>TC</v>
      </c>
      <c r="F623">
        <v>2025</v>
      </c>
      <c r="G623">
        <v>1</v>
      </c>
      <c r="H623" t="s">
        <v>278</v>
      </c>
      <c r="I623" t="s">
        <v>7</v>
      </c>
      <c r="J623">
        <v>3</v>
      </c>
      <c r="Q623" t="s">
        <v>5</v>
      </c>
    </row>
    <row r="624" spans="1:17" x14ac:dyDescent="0.25">
      <c r="A624" t="s">
        <v>252</v>
      </c>
      <c r="B624" t="s">
        <v>556</v>
      </c>
      <c r="C624" t="s">
        <v>557</v>
      </c>
      <c r="D624" t="str">
        <f t="shared" si="6"/>
        <v>K12</v>
      </c>
      <c r="E624" t="str">
        <f t="shared" si="7"/>
        <v>TC</v>
      </c>
      <c r="F624">
        <v>2025</v>
      </c>
      <c r="G624">
        <v>1</v>
      </c>
      <c r="H624" t="s">
        <v>279</v>
      </c>
      <c r="I624" t="s">
        <v>11</v>
      </c>
      <c r="J624">
        <v>3</v>
      </c>
      <c r="Q624" t="s">
        <v>5</v>
      </c>
    </row>
    <row r="625" spans="1:24" x14ac:dyDescent="0.25">
      <c r="A625" t="s">
        <v>252</v>
      </c>
      <c r="B625" t="s">
        <v>556</v>
      </c>
      <c r="C625" t="s">
        <v>557</v>
      </c>
      <c r="D625" t="str">
        <f t="shared" si="6"/>
        <v>K12</v>
      </c>
      <c r="E625" t="str">
        <f t="shared" si="7"/>
        <v>TC</v>
      </c>
      <c r="F625">
        <v>2025</v>
      </c>
      <c r="G625">
        <v>1</v>
      </c>
      <c r="H625" t="s">
        <v>283</v>
      </c>
      <c r="I625" t="s">
        <v>16</v>
      </c>
      <c r="J625">
        <v>3</v>
      </c>
      <c r="Q625" t="s">
        <v>5</v>
      </c>
    </row>
    <row r="626" spans="1:24" x14ac:dyDescent="0.25">
      <c r="A626" t="s">
        <v>252</v>
      </c>
      <c r="B626" t="s">
        <v>556</v>
      </c>
      <c r="C626" t="s">
        <v>557</v>
      </c>
      <c r="D626" t="str">
        <f t="shared" si="6"/>
        <v>K12</v>
      </c>
      <c r="E626" t="str">
        <f t="shared" si="7"/>
        <v>TC</v>
      </c>
      <c r="F626">
        <v>2025</v>
      </c>
      <c r="G626">
        <v>1</v>
      </c>
      <c r="H626" t="s">
        <v>285</v>
      </c>
      <c r="I626" t="s">
        <v>72</v>
      </c>
      <c r="J626">
        <v>3</v>
      </c>
      <c r="Q626" t="s">
        <v>5</v>
      </c>
    </row>
    <row r="627" spans="1:24" x14ac:dyDescent="0.25">
      <c r="A627" t="s">
        <v>252</v>
      </c>
      <c r="B627" t="s">
        <v>556</v>
      </c>
      <c r="C627" t="s">
        <v>557</v>
      </c>
      <c r="D627" t="str">
        <f t="shared" si="6"/>
        <v>K12</v>
      </c>
      <c r="E627" t="str">
        <f t="shared" si="7"/>
        <v>TC</v>
      </c>
      <c r="F627">
        <v>2025</v>
      </c>
      <c r="G627">
        <v>1</v>
      </c>
      <c r="H627" t="s">
        <v>371</v>
      </c>
      <c r="I627" t="s">
        <v>262</v>
      </c>
      <c r="J627">
        <v>3</v>
      </c>
      <c r="Q627" t="s">
        <v>5</v>
      </c>
    </row>
    <row r="628" spans="1:24" x14ac:dyDescent="0.25">
      <c r="A628" t="s">
        <v>252</v>
      </c>
      <c r="B628" t="s">
        <v>556</v>
      </c>
      <c r="C628" t="s">
        <v>557</v>
      </c>
      <c r="D628" t="str">
        <f t="shared" si="6"/>
        <v>K12</v>
      </c>
      <c r="E628" t="str">
        <f t="shared" si="7"/>
        <v>TC</v>
      </c>
      <c r="F628">
        <v>2025</v>
      </c>
      <c r="G628">
        <v>1</v>
      </c>
      <c r="H628" t="s">
        <v>281</v>
      </c>
      <c r="I628" t="s">
        <v>22</v>
      </c>
      <c r="J628">
        <v>2</v>
      </c>
      <c r="Q628" t="s">
        <v>5</v>
      </c>
    </row>
    <row r="629" spans="1:24" x14ac:dyDescent="0.25">
      <c r="A629" t="s">
        <v>412</v>
      </c>
      <c r="B629" t="s">
        <v>533</v>
      </c>
      <c r="C629" t="s">
        <v>534</v>
      </c>
      <c r="D629" t="str">
        <f t="shared" si="6"/>
        <v>K12</v>
      </c>
      <c r="E629" t="str">
        <f t="shared" si="7"/>
        <v>TMDT</v>
      </c>
      <c r="F629">
        <v>2025</v>
      </c>
      <c r="G629">
        <v>1</v>
      </c>
      <c r="H629" t="s">
        <v>277</v>
      </c>
      <c r="I629" t="s">
        <v>2</v>
      </c>
      <c r="J629">
        <v>1</v>
      </c>
      <c r="Q629" t="s">
        <v>5</v>
      </c>
    </row>
    <row r="630" spans="1:24" x14ac:dyDescent="0.25">
      <c r="A630" t="s">
        <v>412</v>
      </c>
      <c r="B630" t="s">
        <v>533</v>
      </c>
      <c r="C630" t="s">
        <v>534</v>
      </c>
      <c r="D630" t="str">
        <f t="shared" si="6"/>
        <v>K12</v>
      </c>
      <c r="E630" t="str">
        <f t="shared" si="7"/>
        <v>TMDT</v>
      </c>
      <c r="F630">
        <v>2025</v>
      </c>
      <c r="G630">
        <v>1</v>
      </c>
      <c r="H630" t="s">
        <v>367</v>
      </c>
      <c r="I630" t="s">
        <v>368</v>
      </c>
      <c r="J630">
        <v>3</v>
      </c>
      <c r="Q630" t="s">
        <v>5</v>
      </c>
    </row>
    <row r="631" spans="1:24" x14ac:dyDescent="0.25">
      <c r="A631" t="s">
        <v>412</v>
      </c>
      <c r="B631" t="s">
        <v>533</v>
      </c>
      <c r="C631" t="s">
        <v>534</v>
      </c>
      <c r="D631" t="str">
        <f t="shared" si="6"/>
        <v>K12</v>
      </c>
      <c r="E631" t="str">
        <f t="shared" si="7"/>
        <v>TMDT</v>
      </c>
      <c r="F631">
        <v>2025</v>
      </c>
      <c r="G631">
        <v>1</v>
      </c>
      <c r="H631" t="s">
        <v>369</v>
      </c>
      <c r="I631" t="s">
        <v>370</v>
      </c>
      <c r="J631">
        <v>3</v>
      </c>
      <c r="Q631" t="s">
        <v>5</v>
      </c>
    </row>
    <row r="632" spans="1:24" x14ac:dyDescent="0.25">
      <c r="A632" t="s">
        <v>412</v>
      </c>
      <c r="B632" t="s">
        <v>533</v>
      </c>
      <c r="C632" t="s">
        <v>534</v>
      </c>
      <c r="D632" t="str">
        <f t="shared" si="6"/>
        <v>K12</v>
      </c>
      <c r="E632" t="str">
        <f t="shared" si="7"/>
        <v>TMDT</v>
      </c>
      <c r="F632">
        <v>2025</v>
      </c>
      <c r="G632">
        <v>1</v>
      </c>
      <c r="H632" t="s">
        <v>278</v>
      </c>
      <c r="I632" t="s">
        <v>7</v>
      </c>
      <c r="J632">
        <v>3</v>
      </c>
      <c r="Q632" t="s">
        <v>5</v>
      </c>
    </row>
    <row r="633" spans="1:24" x14ac:dyDescent="0.25">
      <c r="A633" t="s">
        <v>412</v>
      </c>
      <c r="B633" t="s">
        <v>533</v>
      </c>
      <c r="C633" t="s">
        <v>534</v>
      </c>
      <c r="D633" t="str">
        <f t="shared" si="6"/>
        <v>K12</v>
      </c>
      <c r="E633" t="str">
        <f t="shared" si="7"/>
        <v>TMDT</v>
      </c>
      <c r="F633">
        <v>2025</v>
      </c>
      <c r="G633">
        <v>1</v>
      </c>
      <c r="H633" t="s">
        <v>279</v>
      </c>
      <c r="I633" t="s">
        <v>11</v>
      </c>
      <c r="J633">
        <v>3</v>
      </c>
      <c r="Q633" t="s">
        <v>5</v>
      </c>
    </row>
    <row r="634" spans="1:24" x14ac:dyDescent="0.25">
      <c r="A634" t="s">
        <v>412</v>
      </c>
      <c r="B634" t="s">
        <v>533</v>
      </c>
      <c r="C634" t="s">
        <v>534</v>
      </c>
      <c r="D634" t="str">
        <f t="shared" si="6"/>
        <v>K12</v>
      </c>
      <c r="E634" t="str">
        <f t="shared" si="7"/>
        <v>TMDT</v>
      </c>
      <c r="F634">
        <v>2025</v>
      </c>
      <c r="G634">
        <v>1</v>
      </c>
      <c r="H634" t="s">
        <v>284</v>
      </c>
      <c r="I634" t="s">
        <v>13</v>
      </c>
      <c r="J634">
        <v>3</v>
      </c>
      <c r="Q634" t="s">
        <v>5</v>
      </c>
    </row>
    <row r="635" spans="1:24" x14ac:dyDescent="0.25">
      <c r="A635" t="s">
        <v>412</v>
      </c>
      <c r="B635" t="s">
        <v>533</v>
      </c>
      <c r="C635" t="s">
        <v>534</v>
      </c>
      <c r="D635" t="str">
        <f t="shared" si="6"/>
        <v>K12</v>
      </c>
      <c r="E635" t="str">
        <f t="shared" si="7"/>
        <v>TMDT</v>
      </c>
      <c r="F635">
        <v>2025</v>
      </c>
      <c r="G635">
        <v>1</v>
      </c>
      <c r="H635" t="s">
        <v>285</v>
      </c>
      <c r="I635" t="s">
        <v>72</v>
      </c>
      <c r="J635">
        <v>3</v>
      </c>
      <c r="Q635" t="s">
        <v>5</v>
      </c>
    </row>
    <row r="636" spans="1:24" x14ac:dyDescent="0.25">
      <c r="A636" t="s">
        <v>412</v>
      </c>
      <c r="B636" t="s">
        <v>533</v>
      </c>
      <c r="C636" t="s">
        <v>534</v>
      </c>
      <c r="D636" t="str">
        <f t="shared" si="6"/>
        <v>K12</v>
      </c>
      <c r="E636" t="str">
        <f t="shared" si="7"/>
        <v>TMDT</v>
      </c>
      <c r="F636">
        <v>2025</v>
      </c>
      <c r="G636">
        <v>1</v>
      </c>
      <c r="H636" t="s">
        <v>371</v>
      </c>
      <c r="I636" t="s">
        <v>262</v>
      </c>
      <c r="J636">
        <v>3</v>
      </c>
      <c r="Q636" t="s">
        <v>5</v>
      </c>
    </row>
    <row r="637" spans="1:24" x14ac:dyDescent="0.25">
      <c r="A637" t="s">
        <v>412</v>
      </c>
      <c r="B637" t="s">
        <v>533</v>
      </c>
      <c r="C637" t="s">
        <v>534</v>
      </c>
      <c r="D637" t="str">
        <f t="shared" si="6"/>
        <v>K12</v>
      </c>
      <c r="E637" t="str">
        <f t="shared" si="7"/>
        <v>TMDT</v>
      </c>
      <c r="F637">
        <v>2025</v>
      </c>
      <c r="G637">
        <v>1</v>
      </c>
      <c r="H637" t="s">
        <v>280</v>
      </c>
      <c r="I637" t="s">
        <v>74</v>
      </c>
      <c r="J637">
        <v>2</v>
      </c>
      <c r="K637" t="s">
        <v>398</v>
      </c>
      <c r="Q637" t="s">
        <v>5</v>
      </c>
    </row>
    <row r="638" spans="1:24" x14ac:dyDescent="0.25">
      <c r="A638" t="s">
        <v>412</v>
      </c>
      <c r="B638" t="s">
        <v>533</v>
      </c>
      <c r="C638" t="s">
        <v>534</v>
      </c>
      <c r="D638" t="str">
        <f t="shared" si="6"/>
        <v>K12</v>
      </c>
      <c r="E638" t="str">
        <f t="shared" si="7"/>
        <v>TMDT</v>
      </c>
      <c r="F638">
        <v>2025</v>
      </c>
      <c r="G638">
        <v>1</v>
      </c>
      <c r="H638" t="s">
        <v>297</v>
      </c>
      <c r="I638" t="s">
        <v>298</v>
      </c>
      <c r="J638">
        <v>2</v>
      </c>
      <c r="K638" t="s">
        <v>398</v>
      </c>
      <c r="Q638" t="s">
        <v>5</v>
      </c>
    </row>
    <row r="639" spans="1:24" x14ac:dyDescent="0.25">
      <c r="A639" t="s">
        <v>617</v>
      </c>
      <c r="D639" t="s">
        <v>902</v>
      </c>
      <c r="E639" t="s">
        <v>903</v>
      </c>
      <c r="F639">
        <v>2025</v>
      </c>
      <c r="G639">
        <v>1</v>
      </c>
      <c r="H639" t="s">
        <v>619</v>
      </c>
      <c r="I639" t="s">
        <v>620</v>
      </c>
      <c r="J639">
        <v>3</v>
      </c>
      <c r="K639">
        <v>45</v>
      </c>
      <c r="L639">
        <v>45</v>
      </c>
      <c r="U639" t="s">
        <v>621</v>
      </c>
      <c r="X639" t="s">
        <v>5</v>
      </c>
    </row>
    <row r="640" spans="1:24" x14ac:dyDescent="0.25">
      <c r="A640" t="s">
        <v>617</v>
      </c>
      <c r="D640" t="s">
        <v>902</v>
      </c>
      <c r="E640" t="s">
        <v>903</v>
      </c>
      <c r="F640">
        <v>2025</v>
      </c>
      <c r="G640">
        <v>1</v>
      </c>
      <c r="H640" t="s">
        <v>622</v>
      </c>
      <c r="I640" t="s">
        <v>623</v>
      </c>
      <c r="J640">
        <v>3</v>
      </c>
      <c r="K640">
        <v>45</v>
      </c>
      <c r="L640">
        <v>45</v>
      </c>
      <c r="U640" t="s">
        <v>624</v>
      </c>
      <c r="X640" t="s">
        <v>5</v>
      </c>
    </row>
    <row r="641" spans="1:24" x14ac:dyDescent="0.25">
      <c r="A641" t="s">
        <v>617</v>
      </c>
      <c r="D641" t="s">
        <v>902</v>
      </c>
      <c r="E641" t="s">
        <v>903</v>
      </c>
      <c r="F641">
        <v>2025</v>
      </c>
      <c r="G641">
        <v>1</v>
      </c>
      <c r="H641" t="s">
        <v>625</v>
      </c>
      <c r="I641" t="s">
        <v>192</v>
      </c>
      <c r="J641">
        <v>3</v>
      </c>
      <c r="K641">
        <v>45</v>
      </c>
      <c r="L641">
        <v>45</v>
      </c>
      <c r="U641" t="s">
        <v>618</v>
      </c>
      <c r="X641" t="s">
        <v>5</v>
      </c>
    </row>
    <row r="642" spans="1:24" x14ac:dyDescent="0.25">
      <c r="A642" t="s">
        <v>617</v>
      </c>
      <c r="D642" t="s">
        <v>902</v>
      </c>
      <c r="E642" t="s">
        <v>903</v>
      </c>
      <c r="F642">
        <v>2025</v>
      </c>
      <c r="G642">
        <v>1</v>
      </c>
      <c r="H642" t="s">
        <v>626</v>
      </c>
      <c r="I642" t="s">
        <v>627</v>
      </c>
      <c r="J642">
        <v>3</v>
      </c>
      <c r="K642">
        <v>45</v>
      </c>
      <c r="L642">
        <v>45</v>
      </c>
      <c r="R642" t="s">
        <v>628</v>
      </c>
      <c r="U642" t="s">
        <v>621</v>
      </c>
      <c r="X642" t="s">
        <v>5</v>
      </c>
    </row>
    <row r="643" spans="1:24" x14ac:dyDescent="0.25">
      <c r="A643" t="s">
        <v>617</v>
      </c>
      <c r="D643" t="s">
        <v>902</v>
      </c>
      <c r="E643" t="s">
        <v>903</v>
      </c>
      <c r="F643">
        <v>2025</v>
      </c>
      <c r="G643">
        <v>1</v>
      </c>
      <c r="H643" t="s">
        <v>629</v>
      </c>
      <c r="I643" t="s">
        <v>630</v>
      </c>
      <c r="J643">
        <v>3</v>
      </c>
      <c r="K643">
        <v>45</v>
      </c>
      <c r="L643">
        <v>45</v>
      </c>
      <c r="R643" t="s">
        <v>628</v>
      </c>
      <c r="U643" t="s">
        <v>618</v>
      </c>
      <c r="X643" t="s">
        <v>5</v>
      </c>
    </row>
    <row r="644" spans="1:24" x14ac:dyDescent="0.25">
      <c r="A644" t="s">
        <v>617</v>
      </c>
      <c r="D644" t="s">
        <v>902</v>
      </c>
      <c r="E644" t="s">
        <v>903</v>
      </c>
      <c r="F644">
        <v>2025</v>
      </c>
      <c r="G644">
        <v>1</v>
      </c>
      <c r="H644" t="s">
        <v>631</v>
      </c>
      <c r="I644" t="s">
        <v>64</v>
      </c>
      <c r="J644">
        <v>3</v>
      </c>
      <c r="K644">
        <v>45</v>
      </c>
      <c r="L644">
        <v>45</v>
      </c>
      <c r="R644" t="s">
        <v>628</v>
      </c>
      <c r="X644" t="s">
        <v>5</v>
      </c>
    </row>
    <row r="645" spans="1:24" x14ac:dyDescent="0.25">
      <c r="A645" t="s">
        <v>617</v>
      </c>
      <c r="D645" t="s">
        <v>902</v>
      </c>
      <c r="E645" t="s">
        <v>903</v>
      </c>
      <c r="F645">
        <v>2025</v>
      </c>
      <c r="G645">
        <v>1</v>
      </c>
      <c r="H645" t="s">
        <v>632</v>
      </c>
      <c r="I645" t="s">
        <v>100</v>
      </c>
      <c r="J645">
        <v>3</v>
      </c>
      <c r="K645">
        <v>45</v>
      </c>
      <c r="L645">
        <v>45</v>
      </c>
      <c r="R645" t="s">
        <v>628</v>
      </c>
      <c r="X645" t="s">
        <v>5</v>
      </c>
    </row>
    <row r="646" spans="1:24" x14ac:dyDescent="0.25">
      <c r="A646" t="s">
        <v>633</v>
      </c>
      <c r="D646" t="s">
        <v>902</v>
      </c>
      <c r="E646" t="s">
        <v>418</v>
      </c>
      <c r="F646">
        <v>2025</v>
      </c>
      <c r="G646">
        <v>1</v>
      </c>
      <c r="H646" t="s">
        <v>639</v>
      </c>
      <c r="I646" t="s">
        <v>640</v>
      </c>
      <c r="J646">
        <v>3</v>
      </c>
      <c r="K646">
        <v>45</v>
      </c>
      <c r="L646">
        <v>45</v>
      </c>
      <c r="U646" t="s">
        <v>641</v>
      </c>
      <c r="X646" t="s">
        <v>5</v>
      </c>
    </row>
    <row r="647" spans="1:24" x14ac:dyDescent="0.25">
      <c r="A647" t="s">
        <v>633</v>
      </c>
      <c r="D647" t="s">
        <v>902</v>
      </c>
      <c r="E647" t="s">
        <v>418</v>
      </c>
      <c r="F647">
        <v>2025</v>
      </c>
      <c r="G647">
        <v>1</v>
      </c>
      <c r="H647" t="s">
        <v>642</v>
      </c>
      <c r="I647" t="s">
        <v>643</v>
      </c>
      <c r="J647">
        <v>3</v>
      </c>
      <c r="K647">
        <v>45</v>
      </c>
      <c r="L647">
        <v>45</v>
      </c>
      <c r="U647" t="s">
        <v>635</v>
      </c>
      <c r="X647" t="s">
        <v>5</v>
      </c>
    </row>
    <row r="648" spans="1:24" x14ac:dyDescent="0.25">
      <c r="A648" t="s">
        <v>633</v>
      </c>
      <c r="D648" t="s">
        <v>902</v>
      </c>
      <c r="E648" t="s">
        <v>418</v>
      </c>
      <c r="F648">
        <v>2025</v>
      </c>
      <c r="G648">
        <v>1</v>
      </c>
      <c r="H648" t="s">
        <v>644</v>
      </c>
      <c r="I648" t="s">
        <v>645</v>
      </c>
      <c r="J648">
        <v>3</v>
      </c>
      <c r="K648">
        <v>45</v>
      </c>
      <c r="L648">
        <v>45</v>
      </c>
      <c r="U648" t="s">
        <v>646</v>
      </c>
      <c r="X648" t="s">
        <v>5</v>
      </c>
    </row>
    <row r="649" spans="1:24" x14ac:dyDescent="0.25">
      <c r="A649" t="s">
        <v>633</v>
      </c>
      <c r="D649" t="s">
        <v>902</v>
      </c>
      <c r="E649" t="s">
        <v>418</v>
      </c>
      <c r="F649">
        <v>2025</v>
      </c>
      <c r="G649">
        <v>1</v>
      </c>
      <c r="H649" t="s">
        <v>647</v>
      </c>
      <c r="I649" t="s">
        <v>648</v>
      </c>
      <c r="J649">
        <v>3</v>
      </c>
      <c r="K649">
        <v>45</v>
      </c>
      <c r="L649">
        <v>45</v>
      </c>
      <c r="U649" t="s">
        <v>635</v>
      </c>
      <c r="X649" t="s">
        <v>5</v>
      </c>
    </row>
    <row r="650" spans="1:24" x14ac:dyDescent="0.25">
      <c r="A650" t="s">
        <v>633</v>
      </c>
      <c r="D650" t="s">
        <v>902</v>
      </c>
      <c r="E650" t="s">
        <v>418</v>
      </c>
      <c r="F650">
        <v>2025</v>
      </c>
      <c r="G650">
        <v>1</v>
      </c>
      <c r="H650" t="s">
        <v>649</v>
      </c>
      <c r="I650" t="s">
        <v>650</v>
      </c>
      <c r="J650">
        <v>3</v>
      </c>
      <c r="K650">
        <v>45</v>
      </c>
      <c r="L650">
        <v>45</v>
      </c>
      <c r="R650" t="s">
        <v>93</v>
      </c>
      <c r="U650" t="s">
        <v>641</v>
      </c>
      <c r="X650" t="s">
        <v>5</v>
      </c>
    </row>
    <row r="651" spans="1:24" x14ac:dyDescent="0.25">
      <c r="A651" t="s">
        <v>633</v>
      </c>
      <c r="D651" t="s">
        <v>902</v>
      </c>
      <c r="E651" t="s">
        <v>418</v>
      </c>
      <c r="F651">
        <v>2025</v>
      </c>
      <c r="G651">
        <v>1</v>
      </c>
      <c r="H651" t="s">
        <v>651</v>
      </c>
      <c r="I651" t="s">
        <v>652</v>
      </c>
      <c r="J651">
        <v>3</v>
      </c>
      <c r="K651">
        <v>45</v>
      </c>
      <c r="L651">
        <v>45</v>
      </c>
      <c r="R651" t="s">
        <v>93</v>
      </c>
      <c r="U651" t="s">
        <v>641</v>
      </c>
      <c r="X651" t="s">
        <v>5</v>
      </c>
    </row>
    <row r="652" spans="1:24" x14ac:dyDescent="0.25">
      <c r="A652" t="s">
        <v>653</v>
      </c>
      <c r="D652" t="s">
        <v>902</v>
      </c>
      <c r="E652" t="s">
        <v>419</v>
      </c>
      <c r="F652">
        <v>2025</v>
      </c>
      <c r="G652">
        <v>1</v>
      </c>
      <c r="H652" t="s">
        <v>639</v>
      </c>
      <c r="I652" t="s">
        <v>640</v>
      </c>
      <c r="J652">
        <v>3</v>
      </c>
      <c r="K652">
        <v>45</v>
      </c>
      <c r="L652">
        <v>45</v>
      </c>
      <c r="U652" t="s">
        <v>641</v>
      </c>
      <c r="X652" t="s">
        <v>5</v>
      </c>
    </row>
    <row r="653" spans="1:24" x14ac:dyDescent="0.25">
      <c r="A653" t="s">
        <v>653</v>
      </c>
      <c r="D653" t="s">
        <v>902</v>
      </c>
      <c r="E653" t="s">
        <v>419</v>
      </c>
      <c r="F653">
        <v>2025</v>
      </c>
      <c r="G653">
        <v>1</v>
      </c>
      <c r="H653" t="s">
        <v>654</v>
      </c>
      <c r="I653" t="s">
        <v>655</v>
      </c>
      <c r="J653">
        <v>3</v>
      </c>
      <c r="K653">
        <v>45</v>
      </c>
      <c r="L653">
        <v>45</v>
      </c>
      <c r="U653" t="s">
        <v>646</v>
      </c>
      <c r="X653" t="s">
        <v>5</v>
      </c>
    </row>
    <row r="654" spans="1:24" x14ac:dyDescent="0.25">
      <c r="A654" t="s">
        <v>653</v>
      </c>
      <c r="D654" t="s">
        <v>902</v>
      </c>
      <c r="E654" t="s">
        <v>419</v>
      </c>
      <c r="F654">
        <v>2025</v>
      </c>
      <c r="G654">
        <v>1</v>
      </c>
      <c r="H654" t="s">
        <v>637</v>
      </c>
      <c r="I654" t="s">
        <v>638</v>
      </c>
      <c r="J654">
        <v>3</v>
      </c>
      <c r="K654">
        <v>45</v>
      </c>
      <c r="L654">
        <v>45</v>
      </c>
      <c r="U654" t="s">
        <v>636</v>
      </c>
      <c r="X654" t="s">
        <v>5</v>
      </c>
    </row>
    <row r="655" spans="1:24" x14ac:dyDescent="0.25">
      <c r="A655" t="s">
        <v>653</v>
      </c>
      <c r="D655" t="s">
        <v>902</v>
      </c>
      <c r="E655" t="s">
        <v>419</v>
      </c>
      <c r="F655">
        <v>2025</v>
      </c>
      <c r="G655">
        <v>1</v>
      </c>
      <c r="H655" t="s">
        <v>644</v>
      </c>
      <c r="I655" t="s">
        <v>645</v>
      </c>
      <c r="J655">
        <v>3</v>
      </c>
      <c r="K655">
        <v>45</v>
      </c>
      <c r="L655">
        <v>45</v>
      </c>
      <c r="U655" t="s">
        <v>646</v>
      </c>
      <c r="X655" t="s">
        <v>5</v>
      </c>
    </row>
    <row r="656" spans="1:24" x14ac:dyDescent="0.25">
      <c r="A656" t="s">
        <v>653</v>
      </c>
      <c r="D656" t="s">
        <v>902</v>
      </c>
      <c r="E656" t="s">
        <v>419</v>
      </c>
      <c r="F656">
        <v>2025</v>
      </c>
      <c r="G656">
        <v>1</v>
      </c>
      <c r="H656" t="s">
        <v>656</v>
      </c>
      <c r="I656" t="s">
        <v>657</v>
      </c>
      <c r="J656">
        <v>3</v>
      </c>
      <c r="K656">
        <v>45</v>
      </c>
      <c r="L656">
        <v>45</v>
      </c>
      <c r="S656" t="s">
        <v>658</v>
      </c>
      <c r="U656" t="s">
        <v>646</v>
      </c>
      <c r="X656" t="s">
        <v>5</v>
      </c>
    </row>
    <row r="657" spans="1:24" x14ac:dyDescent="0.25">
      <c r="A657" t="s">
        <v>653</v>
      </c>
      <c r="D657" t="s">
        <v>902</v>
      </c>
      <c r="E657" t="s">
        <v>419</v>
      </c>
      <c r="F657">
        <v>2025</v>
      </c>
      <c r="G657">
        <v>1</v>
      </c>
      <c r="H657" t="s">
        <v>649</v>
      </c>
      <c r="I657" t="s">
        <v>650</v>
      </c>
      <c r="J657">
        <v>3</v>
      </c>
      <c r="K657">
        <v>45</v>
      </c>
      <c r="L657">
        <v>45</v>
      </c>
      <c r="S657" t="s">
        <v>658</v>
      </c>
      <c r="U657" t="s">
        <v>641</v>
      </c>
      <c r="X657" t="s">
        <v>5</v>
      </c>
    </row>
    <row r="658" spans="1:24" x14ac:dyDescent="0.25">
      <c r="A658" t="s">
        <v>653</v>
      </c>
      <c r="D658" t="s">
        <v>902</v>
      </c>
      <c r="E658" t="s">
        <v>419</v>
      </c>
      <c r="F658">
        <v>2025</v>
      </c>
      <c r="G658">
        <v>1</v>
      </c>
      <c r="H658" t="s">
        <v>651</v>
      </c>
      <c r="I658" t="s">
        <v>652</v>
      </c>
      <c r="J658">
        <v>3</v>
      </c>
      <c r="K658">
        <v>45</v>
      </c>
      <c r="L658">
        <v>45</v>
      </c>
      <c r="S658" t="s">
        <v>659</v>
      </c>
      <c r="U658" t="s">
        <v>641</v>
      </c>
      <c r="X658" t="s">
        <v>5</v>
      </c>
    </row>
    <row r="659" spans="1:24" x14ac:dyDescent="0.25">
      <c r="A659" t="s">
        <v>653</v>
      </c>
      <c r="D659" t="s">
        <v>902</v>
      </c>
      <c r="E659" t="s">
        <v>419</v>
      </c>
      <c r="F659">
        <v>2025</v>
      </c>
      <c r="G659">
        <v>1</v>
      </c>
      <c r="H659" t="s">
        <v>660</v>
      </c>
      <c r="I659" t="s">
        <v>661</v>
      </c>
      <c r="J659">
        <v>3</v>
      </c>
      <c r="K659">
        <v>45</v>
      </c>
      <c r="L659">
        <v>45</v>
      </c>
      <c r="S659" t="s">
        <v>659</v>
      </c>
      <c r="U659" t="s">
        <v>641</v>
      </c>
      <c r="X659" t="s">
        <v>5</v>
      </c>
    </row>
    <row r="660" spans="1:24" x14ac:dyDescent="0.25">
      <c r="A660" t="s">
        <v>662</v>
      </c>
      <c r="D660" t="s">
        <v>902</v>
      </c>
      <c r="E660" t="s">
        <v>420</v>
      </c>
      <c r="F660">
        <v>2025</v>
      </c>
      <c r="G660">
        <v>1</v>
      </c>
      <c r="H660" t="s">
        <v>667</v>
      </c>
      <c r="I660" t="s">
        <v>668</v>
      </c>
      <c r="J660">
        <v>3</v>
      </c>
      <c r="K660">
        <v>45</v>
      </c>
      <c r="L660">
        <v>45</v>
      </c>
      <c r="U660" t="s">
        <v>669</v>
      </c>
      <c r="X660" t="s">
        <v>5</v>
      </c>
    </row>
    <row r="661" spans="1:24" x14ac:dyDescent="0.25">
      <c r="A661" t="s">
        <v>662</v>
      </c>
      <c r="D661" t="s">
        <v>902</v>
      </c>
      <c r="E661" t="s">
        <v>420</v>
      </c>
      <c r="F661">
        <v>2025</v>
      </c>
      <c r="G661">
        <v>1</v>
      </c>
      <c r="H661" t="s">
        <v>670</v>
      </c>
      <c r="I661" t="s">
        <v>671</v>
      </c>
      <c r="J661">
        <v>3</v>
      </c>
      <c r="K661">
        <v>45</v>
      </c>
      <c r="L661">
        <v>45</v>
      </c>
      <c r="U661" t="s">
        <v>672</v>
      </c>
      <c r="X661" t="s">
        <v>5</v>
      </c>
    </row>
    <row r="662" spans="1:24" x14ac:dyDescent="0.25">
      <c r="A662" t="s">
        <v>662</v>
      </c>
      <c r="D662" t="s">
        <v>902</v>
      </c>
      <c r="E662" t="s">
        <v>420</v>
      </c>
      <c r="F662">
        <v>2025</v>
      </c>
      <c r="G662">
        <v>1</v>
      </c>
      <c r="H662" t="s">
        <v>673</v>
      </c>
      <c r="I662" t="s">
        <v>674</v>
      </c>
      <c r="J662">
        <v>2</v>
      </c>
      <c r="K662">
        <v>30</v>
      </c>
      <c r="L662">
        <v>30</v>
      </c>
      <c r="U662" t="s">
        <v>672</v>
      </c>
      <c r="X662" t="s">
        <v>5</v>
      </c>
    </row>
    <row r="663" spans="1:24" x14ac:dyDescent="0.25">
      <c r="A663" t="s">
        <v>662</v>
      </c>
      <c r="D663" t="s">
        <v>902</v>
      </c>
      <c r="E663" t="s">
        <v>420</v>
      </c>
      <c r="F663">
        <v>2025</v>
      </c>
      <c r="G663">
        <v>1</v>
      </c>
      <c r="H663" t="s">
        <v>675</v>
      </c>
      <c r="I663" t="s">
        <v>676</v>
      </c>
      <c r="J663">
        <v>3</v>
      </c>
      <c r="K663">
        <v>45</v>
      </c>
      <c r="L663">
        <v>45</v>
      </c>
      <c r="U663" t="s">
        <v>677</v>
      </c>
      <c r="X663" t="s">
        <v>5</v>
      </c>
    </row>
    <row r="664" spans="1:24" x14ac:dyDescent="0.25">
      <c r="A664" t="s">
        <v>662</v>
      </c>
      <c r="D664" t="s">
        <v>902</v>
      </c>
      <c r="E664" t="s">
        <v>420</v>
      </c>
      <c r="F664">
        <v>2025</v>
      </c>
      <c r="G664">
        <v>1</v>
      </c>
      <c r="H664" t="s">
        <v>678</v>
      </c>
      <c r="I664" t="s">
        <v>679</v>
      </c>
      <c r="J664">
        <v>3</v>
      </c>
      <c r="K664">
        <v>45</v>
      </c>
      <c r="L664">
        <v>45</v>
      </c>
      <c r="R664" t="s">
        <v>628</v>
      </c>
      <c r="U664" t="s">
        <v>672</v>
      </c>
      <c r="X664" t="s">
        <v>5</v>
      </c>
    </row>
    <row r="665" spans="1:24" x14ac:dyDescent="0.25">
      <c r="A665" t="s">
        <v>662</v>
      </c>
      <c r="D665" t="s">
        <v>902</v>
      </c>
      <c r="E665" t="s">
        <v>420</v>
      </c>
      <c r="F665">
        <v>2025</v>
      </c>
      <c r="G665">
        <v>1</v>
      </c>
      <c r="H665" t="s">
        <v>680</v>
      </c>
      <c r="I665" t="s">
        <v>681</v>
      </c>
      <c r="J665">
        <v>3</v>
      </c>
      <c r="K665">
        <v>45</v>
      </c>
      <c r="L665">
        <v>45</v>
      </c>
      <c r="R665" t="s">
        <v>628</v>
      </c>
      <c r="U665" t="s">
        <v>664</v>
      </c>
      <c r="X665" t="s">
        <v>5</v>
      </c>
    </row>
    <row r="666" spans="1:24" x14ac:dyDescent="0.25">
      <c r="A666" t="s">
        <v>662</v>
      </c>
      <c r="D666" t="s">
        <v>902</v>
      </c>
      <c r="E666" t="s">
        <v>420</v>
      </c>
      <c r="F666">
        <v>2025</v>
      </c>
      <c r="G666">
        <v>1</v>
      </c>
      <c r="H666" t="s">
        <v>682</v>
      </c>
      <c r="I666" t="s">
        <v>683</v>
      </c>
      <c r="J666">
        <v>3</v>
      </c>
      <c r="K666">
        <v>45</v>
      </c>
      <c r="L666">
        <v>45</v>
      </c>
      <c r="R666" t="s">
        <v>628</v>
      </c>
      <c r="U666" t="s">
        <v>684</v>
      </c>
      <c r="X666" t="s">
        <v>5</v>
      </c>
    </row>
    <row r="667" spans="1:24" x14ac:dyDescent="0.25">
      <c r="A667" t="s">
        <v>662</v>
      </c>
      <c r="D667" t="s">
        <v>902</v>
      </c>
      <c r="E667" t="s">
        <v>420</v>
      </c>
      <c r="F667">
        <v>2025</v>
      </c>
      <c r="G667">
        <v>1</v>
      </c>
      <c r="H667" t="s">
        <v>685</v>
      </c>
      <c r="I667" t="s">
        <v>686</v>
      </c>
      <c r="J667">
        <v>3</v>
      </c>
      <c r="K667">
        <v>45</v>
      </c>
      <c r="L667">
        <v>45</v>
      </c>
      <c r="R667" t="s">
        <v>628</v>
      </c>
      <c r="U667" t="s">
        <v>687</v>
      </c>
      <c r="X667" t="s">
        <v>5</v>
      </c>
    </row>
    <row r="668" spans="1:24" x14ac:dyDescent="0.25">
      <c r="A668" t="s">
        <v>688</v>
      </c>
      <c r="D668" t="s">
        <v>902</v>
      </c>
      <c r="E668" t="s">
        <v>416</v>
      </c>
      <c r="F668">
        <v>2025</v>
      </c>
      <c r="G668">
        <v>1</v>
      </c>
      <c r="H668" t="s">
        <v>692</v>
      </c>
      <c r="I668" t="s">
        <v>693</v>
      </c>
      <c r="J668">
        <v>3</v>
      </c>
      <c r="K668">
        <v>45</v>
      </c>
      <c r="L668">
        <v>45</v>
      </c>
      <c r="U668" t="s">
        <v>689</v>
      </c>
      <c r="X668" t="s">
        <v>5</v>
      </c>
    </row>
    <row r="669" spans="1:24" x14ac:dyDescent="0.25">
      <c r="A669" t="s">
        <v>688</v>
      </c>
      <c r="D669" t="s">
        <v>902</v>
      </c>
      <c r="E669" t="s">
        <v>416</v>
      </c>
      <c r="F669">
        <v>2025</v>
      </c>
      <c r="G669">
        <v>1</v>
      </c>
      <c r="H669" t="s">
        <v>694</v>
      </c>
      <c r="I669" t="s">
        <v>695</v>
      </c>
      <c r="J669">
        <v>3</v>
      </c>
      <c r="K669">
        <v>45</v>
      </c>
      <c r="L669">
        <v>45</v>
      </c>
      <c r="U669" t="s">
        <v>691</v>
      </c>
      <c r="X669" t="s">
        <v>5</v>
      </c>
    </row>
    <row r="670" spans="1:24" x14ac:dyDescent="0.25">
      <c r="A670" t="s">
        <v>688</v>
      </c>
      <c r="D670" t="s">
        <v>902</v>
      </c>
      <c r="E670" t="s">
        <v>416</v>
      </c>
      <c r="F670">
        <v>2025</v>
      </c>
      <c r="G670">
        <v>1</v>
      </c>
      <c r="H670" t="s">
        <v>696</v>
      </c>
      <c r="I670" t="s">
        <v>697</v>
      </c>
      <c r="J670">
        <v>3</v>
      </c>
      <c r="K670">
        <v>45</v>
      </c>
      <c r="L670">
        <v>45</v>
      </c>
      <c r="S670" t="s">
        <v>698</v>
      </c>
      <c r="U670" t="s">
        <v>691</v>
      </c>
      <c r="X670" t="s">
        <v>5</v>
      </c>
    </row>
    <row r="671" spans="1:24" x14ac:dyDescent="0.25">
      <c r="A671" t="s">
        <v>688</v>
      </c>
      <c r="D671" t="s">
        <v>902</v>
      </c>
      <c r="E671" t="s">
        <v>416</v>
      </c>
      <c r="F671">
        <v>2025</v>
      </c>
      <c r="G671">
        <v>1</v>
      </c>
      <c r="H671" t="s">
        <v>699</v>
      </c>
      <c r="I671" t="s">
        <v>145</v>
      </c>
      <c r="J671">
        <v>3</v>
      </c>
      <c r="K671">
        <v>45</v>
      </c>
      <c r="L671">
        <v>45</v>
      </c>
      <c r="S671" t="s">
        <v>698</v>
      </c>
      <c r="U671" t="s">
        <v>691</v>
      </c>
      <c r="X671" t="s">
        <v>5</v>
      </c>
    </row>
    <row r="672" spans="1:24" x14ac:dyDescent="0.25">
      <c r="A672" t="s">
        <v>688</v>
      </c>
      <c r="D672" t="s">
        <v>902</v>
      </c>
      <c r="E672" t="s">
        <v>416</v>
      </c>
      <c r="F672">
        <v>2025</v>
      </c>
      <c r="G672">
        <v>1</v>
      </c>
      <c r="H672" t="s">
        <v>700</v>
      </c>
      <c r="I672" t="s">
        <v>701</v>
      </c>
      <c r="J672">
        <v>3</v>
      </c>
      <c r="K672">
        <v>45</v>
      </c>
      <c r="L672">
        <v>45</v>
      </c>
      <c r="S672" t="s">
        <v>702</v>
      </c>
      <c r="U672" t="s">
        <v>703</v>
      </c>
      <c r="X672" t="s">
        <v>5</v>
      </c>
    </row>
    <row r="673" spans="1:24" x14ac:dyDescent="0.25">
      <c r="A673" t="s">
        <v>688</v>
      </c>
      <c r="D673" t="s">
        <v>902</v>
      </c>
      <c r="E673" t="s">
        <v>416</v>
      </c>
      <c r="F673">
        <v>2025</v>
      </c>
      <c r="G673">
        <v>1</v>
      </c>
      <c r="H673" t="s">
        <v>704</v>
      </c>
      <c r="I673" t="s">
        <v>705</v>
      </c>
      <c r="J673">
        <v>3</v>
      </c>
      <c r="K673">
        <v>45</v>
      </c>
      <c r="L673">
        <v>45</v>
      </c>
      <c r="S673" t="s">
        <v>702</v>
      </c>
      <c r="U673" t="s">
        <v>665</v>
      </c>
      <c r="X673" t="s">
        <v>5</v>
      </c>
    </row>
    <row r="674" spans="1:24" x14ac:dyDescent="0.25">
      <c r="A674" t="s">
        <v>688</v>
      </c>
      <c r="D674" t="s">
        <v>902</v>
      </c>
      <c r="E674" t="s">
        <v>416</v>
      </c>
      <c r="F674">
        <v>2025</v>
      </c>
      <c r="G674">
        <v>1</v>
      </c>
      <c r="H674" t="s">
        <v>706</v>
      </c>
      <c r="I674" t="s">
        <v>707</v>
      </c>
      <c r="J674">
        <v>3</v>
      </c>
      <c r="K674">
        <v>45</v>
      </c>
      <c r="L674">
        <v>45</v>
      </c>
      <c r="S674" t="s">
        <v>702</v>
      </c>
      <c r="U674" t="s">
        <v>690</v>
      </c>
      <c r="X674" t="s">
        <v>5</v>
      </c>
    </row>
    <row r="675" spans="1:24" x14ac:dyDescent="0.25">
      <c r="A675" t="s">
        <v>688</v>
      </c>
      <c r="D675" t="s">
        <v>902</v>
      </c>
      <c r="E675" t="s">
        <v>416</v>
      </c>
      <c r="F675">
        <v>2025</v>
      </c>
      <c r="G675">
        <v>1</v>
      </c>
      <c r="H675" t="s">
        <v>708</v>
      </c>
      <c r="I675" t="s">
        <v>709</v>
      </c>
      <c r="J675">
        <v>3</v>
      </c>
      <c r="K675">
        <v>45</v>
      </c>
      <c r="L675">
        <v>45</v>
      </c>
      <c r="S675" t="s">
        <v>698</v>
      </c>
      <c r="U675" t="s">
        <v>691</v>
      </c>
      <c r="X675" t="s">
        <v>5</v>
      </c>
    </row>
    <row r="676" spans="1:24" x14ac:dyDescent="0.25">
      <c r="A676" t="s">
        <v>710</v>
      </c>
      <c r="D676" t="s">
        <v>902</v>
      </c>
      <c r="E676" t="s">
        <v>415</v>
      </c>
      <c r="F676">
        <v>2025</v>
      </c>
      <c r="G676">
        <v>1</v>
      </c>
      <c r="H676" t="s">
        <v>711</v>
      </c>
      <c r="I676" t="s">
        <v>712</v>
      </c>
      <c r="J676">
        <v>3</v>
      </c>
      <c r="K676">
        <v>45</v>
      </c>
      <c r="L676">
        <v>45</v>
      </c>
      <c r="U676" t="s">
        <v>713</v>
      </c>
      <c r="X676" t="s">
        <v>5</v>
      </c>
    </row>
    <row r="677" spans="1:24" x14ac:dyDescent="0.25">
      <c r="A677" t="s">
        <v>710</v>
      </c>
      <c r="D677" t="s">
        <v>902</v>
      </c>
      <c r="E677" t="s">
        <v>415</v>
      </c>
      <c r="F677">
        <v>2025</v>
      </c>
      <c r="G677">
        <v>1</v>
      </c>
      <c r="H677" t="s">
        <v>714</v>
      </c>
      <c r="I677" t="s">
        <v>715</v>
      </c>
      <c r="J677">
        <v>3</v>
      </c>
      <c r="K677">
        <v>45</v>
      </c>
      <c r="L677">
        <v>45</v>
      </c>
      <c r="U677" t="s">
        <v>713</v>
      </c>
      <c r="X677" t="s">
        <v>5</v>
      </c>
    </row>
    <row r="678" spans="1:24" x14ac:dyDescent="0.25">
      <c r="A678" t="s">
        <v>710</v>
      </c>
      <c r="D678" t="s">
        <v>902</v>
      </c>
      <c r="E678" t="s">
        <v>415</v>
      </c>
      <c r="F678">
        <v>2025</v>
      </c>
      <c r="G678">
        <v>1</v>
      </c>
      <c r="H678" t="s">
        <v>126</v>
      </c>
      <c r="I678" t="s">
        <v>127</v>
      </c>
      <c r="J678">
        <v>3</v>
      </c>
      <c r="K678">
        <v>45</v>
      </c>
      <c r="L678">
        <v>45</v>
      </c>
      <c r="U678" t="s">
        <v>663</v>
      </c>
      <c r="X678" t="s">
        <v>5</v>
      </c>
    </row>
    <row r="679" spans="1:24" x14ac:dyDescent="0.25">
      <c r="A679" t="s">
        <v>710</v>
      </c>
      <c r="D679" t="s">
        <v>902</v>
      </c>
      <c r="E679" t="s">
        <v>415</v>
      </c>
      <c r="F679">
        <v>2025</v>
      </c>
      <c r="G679">
        <v>1</v>
      </c>
      <c r="H679" t="s">
        <v>716</v>
      </c>
      <c r="I679" t="s">
        <v>245</v>
      </c>
      <c r="J679">
        <v>3</v>
      </c>
      <c r="K679">
        <v>45</v>
      </c>
      <c r="L679">
        <v>45</v>
      </c>
      <c r="U679" t="s">
        <v>634</v>
      </c>
      <c r="X679" t="s">
        <v>5</v>
      </c>
    </row>
    <row r="680" spans="1:24" x14ac:dyDescent="0.25">
      <c r="A680" t="s">
        <v>710</v>
      </c>
      <c r="D680" t="s">
        <v>902</v>
      </c>
      <c r="E680" t="s">
        <v>415</v>
      </c>
      <c r="F680">
        <v>2025</v>
      </c>
      <c r="G680">
        <v>1</v>
      </c>
      <c r="H680" t="s">
        <v>717</v>
      </c>
      <c r="I680" t="s">
        <v>718</v>
      </c>
      <c r="J680">
        <v>1</v>
      </c>
      <c r="K680">
        <v>15</v>
      </c>
      <c r="L680">
        <v>15</v>
      </c>
      <c r="U680" t="s">
        <v>713</v>
      </c>
      <c r="X680" t="s">
        <v>5</v>
      </c>
    </row>
    <row r="681" spans="1:24" x14ac:dyDescent="0.25">
      <c r="A681" t="s">
        <v>710</v>
      </c>
      <c r="D681" t="s">
        <v>902</v>
      </c>
      <c r="E681" t="s">
        <v>415</v>
      </c>
      <c r="F681">
        <v>2025</v>
      </c>
      <c r="G681">
        <v>1</v>
      </c>
      <c r="H681" t="s">
        <v>103</v>
      </c>
      <c r="I681" t="s">
        <v>104</v>
      </c>
      <c r="J681">
        <v>3</v>
      </c>
      <c r="K681">
        <v>45</v>
      </c>
      <c r="L681">
        <v>45</v>
      </c>
      <c r="R681" t="s">
        <v>93</v>
      </c>
      <c r="X681" t="s">
        <v>5</v>
      </c>
    </row>
    <row r="682" spans="1:24" x14ac:dyDescent="0.25">
      <c r="A682" t="s">
        <v>710</v>
      </c>
      <c r="D682" t="s">
        <v>902</v>
      </c>
      <c r="E682" t="s">
        <v>415</v>
      </c>
      <c r="F682">
        <v>2025</v>
      </c>
      <c r="G682">
        <v>1</v>
      </c>
      <c r="H682" t="s">
        <v>719</v>
      </c>
      <c r="I682" t="s">
        <v>720</v>
      </c>
      <c r="J682">
        <v>3</v>
      </c>
      <c r="K682">
        <v>45</v>
      </c>
      <c r="L682">
        <v>45</v>
      </c>
      <c r="R682" t="s">
        <v>93</v>
      </c>
      <c r="U682" t="s">
        <v>721</v>
      </c>
      <c r="X682" t="s">
        <v>5</v>
      </c>
    </row>
    <row r="683" spans="1:24" x14ac:dyDescent="0.25">
      <c r="A683" t="s">
        <v>722</v>
      </c>
      <c r="D683" t="s">
        <v>902</v>
      </c>
      <c r="E683" t="s">
        <v>421</v>
      </c>
      <c r="F683">
        <v>2025</v>
      </c>
      <c r="G683">
        <v>1</v>
      </c>
      <c r="H683" t="s">
        <v>729</v>
      </c>
      <c r="I683" t="s">
        <v>180</v>
      </c>
      <c r="J683">
        <v>3</v>
      </c>
      <c r="K683">
        <v>45</v>
      </c>
      <c r="L683">
        <v>45</v>
      </c>
      <c r="U683" t="s">
        <v>726</v>
      </c>
      <c r="X683" t="s">
        <v>5</v>
      </c>
    </row>
    <row r="684" spans="1:24" x14ac:dyDescent="0.25">
      <c r="A684" t="s">
        <v>722</v>
      </c>
      <c r="D684" t="s">
        <v>902</v>
      </c>
      <c r="E684" t="s">
        <v>421</v>
      </c>
      <c r="F684">
        <v>2025</v>
      </c>
      <c r="G684">
        <v>1</v>
      </c>
      <c r="H684" t="s">
        <v>730</v>
      </c>
      <c r="I684" t="s">
        <v>731</v>
      </c>
      <c r="J684">
        <v>3</v>
      </c>
      <c r="K684">
        <v>45</v>
      </c>
      <c r="L684">
        <v>45</v>
      </c>
      <c r="U684" t="s">
        <v>726</v>
      </c>
      <c r="X684" t="s">
        <v>5</v>
      </c>
    </row>
    <row r="685" spans="1:24" x14ac:dyDescent="0.25">
      <c r="A685" t="s">
        <v>722</v>
      </c>
      <c r="D685" t="s">
        <v>902</v>
      </c>
      <c r="E685" t="s">
        <v>421</v>
      </c>
      <c r="F685">
        <v>2025</v>
      </c>
      <c r="G685">
        <v>1</v>
      </c>
      <c r="H685" t="s">
        <v>183</v>
      </c>
      <c r="I685" t="s">
        <v>184</v>
      </c>
      <c r="J685">
        <v>3</v>
      </c>
      <c r="K685">
        <v>45</v>
      </c>
      <c r="L685">
        <v>45</v>
      </c>
      <c r="U685" t="s">
        <v>732</v>
      </c>
      <c r="X685" t="s">
        <v>5</v>
      </c>
    </row>
    <row r="686" spans="1:24" x14ac:dyDescent="0.25">
      <c r="A686" t="s">
        <v>722</v>
      </c>
      <c r="D686" t="s">
        <v>902</v>
      </c>
      <c r="E686" t="s">
        <v>421</v>
      </c>
      <c r="F686">
        <v>2025</v>
      </c>
      <c r="G686">
        <v>1</v>
      </c>
      <c r="H686" t="s">
        <v>733</v>
      </c>
      <c r="I686" t="s">
        <v>177</v>
      </c>
      <c r="J686">
        <v>3</v>
      </c>
      <c r="K686">
        <v>45</v>
      </c>
      <c r="L686">
        <v>45</v>
      </c>
      <c r="U686" t="s">
        <v>723</v>
      </c>
      <c r="X686" t="s">
        <v>5</v>
      </c>
    </row>
    <row r="687" spans="1:24" x14ac:dyDescent="0.25">
      <c r="A687" t="s">
        <v>722</v>
      </c>
      <c r="D687" t="s">
        <v>902</v>
      </c>
      <c r="E687" t="s">
        <v>421</v>
      </c>
      <c r="F687">
        <v>2025</v>
      </c>
      <c r="G687">
        <v>1</v>
      </c>
      <c r="H687" t="s">
        <v>734</v>
      </c>
      <c r="I687" t="s">
        <v>735</v>
      </c>
      <c r="J687">
        <v>1</v>
      </c>
      <c r="K687">
        <v>15</v>
      </c>
      <c r="L687">
        <v>15</v>
      </c>
      <c r="U687" t="s">
        <v>725</v>
      </c>
      <c r="X687" t="s">
        <v>5</v>
      </c>
    </row>
    <row r="688" spans="1:24" x14ac:dyDescent="0.25">
      <c r="A688" t="s">
        <v>722</v>
      </c>
      <c r="D688" t="s">
        <v>902</v>
      </c>
      <c r="E688" t="s">
        <v>421</v>
      </c>
      <c r="F688">
        <v>2025</v>
      </c>
      <c r="G688">
        <v>1</v>
      </c>
      <c r="H688" t="s">
        <v>736</v>
      </c>
      <c r="I688" t="s">
        <v>737</v>
      </c>
      <c r="J688">
        <v>2</v>
      </c>
      <c r="K688">
        <v>30</v>
      </c>
      <c r="L688">
        <v>30</v>
      </c>
      <c r="R688" t="s">
        <v>738</v>
      </c>
      <c r="U688" t="s">
        <v>726</v>
      </c>
      <c r="X688" t="s">
        <v>5</v>
      </c>
    </row>
    <row r="689" spans="1:24" x14ac:dyDescent="0.25">
      <c r="A689" t="s">
        <v>722</v>
      </c>
      <c r="D689" t="s">
        <v>902</v>
      </c>
      <c r="E689" t="s">
        <v>421</v>
      </c>
      <c r="F689">
        <v>2025</v>
      </c>
      <c r="G689">
        <v>1</v>
      </c>
      <c r="H689" t="s">
        <v>739</v>
      </c>
      <c r="I689" t="s">
        <v>740</v>
      </c>
      <c r="J689">
        <v>2</v>
      </c>
      <c r="K689">
        <v>30</v>
      </c>
      <c r="L689">
        <v>30</v>
      </c>
      <c r="R689" t="s">
        <v>738</v>
      </c>
      <c r="U689" t="s">
        <v>726</v>
      </c>
      <c r="X689" t="s">
        <v>5</v>
      </c>
    </row>
    <row r="690" spans="1:24" x14ac:dyDescent="0.25">
      <c r="A690" t="s">
        <v>722</v>
      </c>
      <c r="D690" t="s">
        <v>902</v>
      </c>
      <c r="E690" t="s">
        <v>421</v>
      </c>
      <c r="F690">
        <v>2025</v>
      </c>
      <c r="G690">
        <v>1</v>
      </c>
      <c r="H690" t="s">
        <v>741</v>
      </c>
      <c r="I690" t="s">
        <v>742</v>
      </c>
      <c r="J690">
        <v>2</v>
      </c>
      <c r="K690">
        <v>30</v>
      </c>
      <c r="L690">
        <v>30</v>
      </c>
      <c r="R690" t="s">
        <v>14</v>
      </c>
      <c r="U690" t="s">
        <v>743</v>
      </c>
    </row>
    <row r="691" spans="1:24" x14ac:dyDescent="0.25">
      <c r="A691" t="s">
        <v>722</v>
      </c>
      <c r="D691" t="s">
        <v>902</v>
      </c>
      <c r="E691" t="s">
        <v>421</v>
      </c>
      <c r="F691">
        <v>2025</v>
      </c>
      <c r="G691">
        <v>1</v>
      </c>
      <c r="H691" t="s">
        <v>744</v>
      </c>
      <c r="I691" t="s">
        <v>745</v>
      </c>
      <c r="J691">
        <v>2</v>
      </c>
      <c r="K691">
        <v>30</v>
      </c>
      <c r="L691">
        <v>30</v>
      </c>
      <c r="R691" t="s">
        <v>14</v>
      </c>
      <c r="U691" t="s">
        <v>743</v>
      </c>
    </row>
    <row r="692" spans="1:24" x14ac:dyDescent="0.25">
      <c r="A692" t="s">
        <v>722</v>
      </c>
      <c r="D692" t="s">
        <v>902</v>
      </c>
      <c r="E692" t="s">
        <v>421</v>
      </c>
      <c r="F692">
        <v>2025</v>
      </c>
      <c r="G692">
        <v>1</v>
      </c>
      <c r="H692" t="s">
        <v>746</v>
      </c>
      <c r="I692" t="s">
        <v>747</v>
      </c>
      <c r="J692">
        <v>2</v>
      </c>
      <c r="K692">
        <v>30</v>
      </c>
      <c r="L692">
        <v>30</v>
      </c>
      <c r="R692" t="s">
        <v>14</v>
      </c>
      <c r="U692" t="s">
        <v>743</v>
      </c>
      <c r="X692" t="s">
        <v>5</v>
      </c>
    </row>
    <row r="693" spans="1:24" x14ac:dyDescent="0.25">
      <c r="A693" t="s">
        <v>722</v>
      </c>
      <c r="D693" t="s">
        <v>902</v>
      </c>
      <c r="E693" t="s">
        <v>421</v>
      </c>
      <c r="F693">
        <v>2025</v>
      </c>
      <c r="G693">
        <v>1</v>
      </c>
      <c r="H693" t="s">
        <v>748</v>
      </c>
      <c r="I693" t="s">
        <v>749</v>
      </c>
      <c r="J693">
        <v>2</v>
      </c>
      <c r="K693">
        <v>30</v>
      </c>
      <c r="L693">
        <v>30</v>
      </c>
      <c r="R693" t="s">
        <v>738</v>
      </c>
      <c r="U693" t="s">
        <v>743</v>
      </c>
      <c r="X693" t="s">
        <v>5</v>
      </c>
    </row>
    <row r="694" spans="1:24" x14ac:dyDescent="0.25">
      <c r="A694" t="s">
        <v>750</v>
      </c>
      <c r="D694" t="s">
        <v>902</v>
      </c>
      <c r="E694" t="s">
        <v>423</v>
      </c>
      <c r="F694">
        <v>2025</v>
      </c>
      <c r="G694">
        <v>1</v>
      </c>
      <c r="H694" t="s">
        <v>752</v>
      </c>
      <c r="I694" t="s">
        <v>630</v>
      </c>
      <c r="J694">
        <v>3</v>
      </c>
      <c r="K694">
        <v>45</v>
      </c>
      <c r="L694">
        <v>45</v>
      </c>
      <c r="U694" t="s">
        <v>751</v>
      </c>
      <c r="X694" t="s">
        <v>5</v>
      </c>
    </row>
    <row r="695" spans="1:24" x14ac:dyDescent="0.25">
      <c r="A695" t="s">
        <v>750</v>
      </c>
      <c r="D695" t="s">
        <v>902</v>
      </c>
      <c r="E695" t="s">
        <v>423</v>
      </c>
      <c r="F695">
        <v>2025</v>
      </c>
      <c r="G695">
        <v>1</v>
      </c>
      <c r="H695" t="s">
        <v>753</v>
      </c>
      <c r="I695" t="s">
        <v>754</v>
      </c>
      <c r="J695">
        <v>3</v>
      </c>
      <c r="K695">
        <v>45</v>
      </c>
      <c r="L695">
        <v>45</v>
      </c>
      <c r="U695" t="s">
        <v>751</v>
      </c>
      <c r="X695" t="s">
        <v>5</v>
      </c>
    </row>
    <row r="696" spans="1:24" x14ac:dyDescent="0.25">
      <c r="A696" t="s">
        <v>750</v>
      </c>
      <c r="D696" t="s">
        <v>902</v>
      </c>
      <c r="E696" t="s">
        <v>423</v>
      </c>
      <c r="F696">
        <v>2025</v>
      </c>
      <c r="G696">
        <v>1</v>
      </c>
      <c r="H696" t="s">
        <v>755</v>
      </c>
      <c r="I696" t="s">
        <v>756</v>
      </c>
      <c r="J696">
        <v>3</v>
      </c>
      <c r="K696">
        <v>45</v>
      </c>
      <c r="L696">
        <v>45</v>
      </c>
      <c r="U696" t="s">
        <v>757</v>
      </c>
      <c r="X696" t="s">
        <v>5</v>
      </c>
    </row>
    <row r="697" spans="1:24" x14ac:dyDescent="0.25">
      <c r="A697" t="s">
        <v>750</v>
      </c>
      <c r="D697" t="s">
        <v>902</v>
      </c>
      <c r="E697" t="s">
        <v>423</v>
      </c>
      <c r="F697">
        <v>2025</v>
      </c>
      <c r="G697">
        <v>1</v>
      </c>
      <c r="H697" t="s">
        <v>758</v>
      </c>
      <c r="I697" t="s">
        <v>759</v>
      </c>
      <c r="J697">
        <v>3</v>
      </c>
      <c r="K697">
        <v>45</v>
      </c>
      <c r="L697">
        <v>45</v>
      </c>
      <c r="U697" t="s">
        <v>751</v>
      </c>
      <c r="X697" t="s">
        <v>5</v>
      </c>
    </row>
    <row r="698" spans="1:24" x14ac:dyDescent="0.25">
      <c r="A698" t="s">
        <v>750</v>
      </c>
      <c r="D698" t="s">
        <v>902</v>
      </c>
      <c r="E698" t="s">
        <v>423</v>
      </c>
      <c r="F698">
        <v>2025</v>
      </c>
      <c r="G698">
        <v>1</v>
      </c>
      <c r="H698" t="s">
        <v>760</v>
      </c>
      <c r="I698" t="s">
        <v>761</v>
      </c>
      <c r="J698">
        <v>3</v>
      </c>
      <c r="K698">
        <v>45</v>
      </c>
      <c r="L698">
        <v>45</v>
      </c>
      <c r="R698" t="s">
        <v>628</v>
      </c>
      <c r="U698" t="s">
        <v>762</v>
      </c>
      <c r="X698" t="s">
        <v>5</v>
      </c>
    </row>
    <row r="699" spans="1:24" x14ac:dyDescent="0.25">
      <c r="A699" t="s">
        <v>750</v>
      </c>
      <c r="D699" t="s">
        <v>902</v>
      </c>
      <c r="E699" t="s">
        <v>423</v>
      </c>
      <c r="F699">
        <v>2025</v>
      </c>
      <c r="G699">
        <v>1</v>
      </c>
      <c r="H699" t="s">
        <v>763</v>
      </c>
      <c r="I699" t="s">
        <v>764</v>
      </c>
      <c r="J699">
        <v>3</v>
      </c>
      <c r="K699">
        <v>45</v>
      </c>
      <c r="L699">
        <v>45</v>
      </c>
      <c r="R699" t="s">
        <v>628</v>
      </c>
      <c r="U699" t="s">
        <v>757</v>
      </c>
      <c r="X699" t="s">
        <v>5</v>
      </c>
    </row>
    <row r="700" spans="1:24" x14ac:dyDescent="0.25">
      <c r="A700" t="s">
        <v>750</v>
      </c>
      <c r="D700" t="s">
        <v>902</v>
      </c>
      <c r="E700" t="s">
        <v>423</v>
      </c>
      <c r="F700">
        <v>2025</v>
      </c>
      <c r="G700">
        <v>1</v>
      </c>
      <c r="H700" t="s">
        <v>765</v>
      </c>
      <c r="I700" t="s">
        <v>766</v>
      </c>
      <c r="J700">
        <v>3</v>
      </c>
      <c r="K700">
        <v>45</v>
      </c>
      <c r="L700">
        <v>45</v>
      </c>
      <c r="R700" t="s">
        <v>628</v>
      </c>
      <c r="U700" t="s">
        <v>751</v>
      </c>
      <c r="X700" t="s">
        <v>5</v>
      </c>
    </row>
    <row r="701" spans="1:24" x14ac:dyDescent="0.25">
      <c r="A701" t="s">
        <v>750</v>
      </c>
      <c r="D701" t="s">
        <v>902</v>
      </c>
      <c r="E701" t="s">
        <v>423</v>
      </c>
      <c r="F701">
        <v>2025</v>
      </c>
      <c r="G701">
        <v>1</v>
      </c>
      <c r="H701" t="s">
        <v>767</v>
      </c>
      <c r="I701" t="s">
        <v>768</v>
      </c>
      <c r="J701">
        <v>3</v>
      </c>
      <c r="K701">
        <v>45</v>
      </c>
      <c r="L701">
        <v>45</v>
      </c>
      <c r="R701" t="s">
        <v>628</v>
      </c>
      <c r="U701" t="s">
        <v>666</v>
      </c>
      <c r="X701" t="s">
        <v>5</v>
      </c>
    </row>
    <row r="702" spans="1:24" x14ac:dyDescent="0.25">
      <c r="A702" t="s">
        <v>750</v>
      </c>
      <c r="D702" t="s">
        <v>902</v>
      </c>
      <c r="E702" t="s">
        <v>423</v>
      </c>
      <c r="F702">
        <v>2025</v>
      </c>
      <c r="G702">
        <v>1</v>
      </c>
      <c r="H702" t="s">
        <v>769</v>
      </c>
      <c r="I702" t="s">
        <v>770</v>
      </c>
      <c r="J702">
        <v>3</v>
      </c>
      <c r="K702">
        <v>45</v>
      </c>
      <c r="L702">
        <v>45</v>
      </c>
      <c r="R702" t="s">
        <v>628</v>
      </c>
      <c r="U702" t="s">
        <v>771</v>
      </c>
      <c r="X702" t="s">
        <v>5</v>
      </c>
    </row>
    <row r="703" spans="1:24" x14ac:dyDescent="0.25">
      <c r="A703" t="s">
        <v>772</v>
      </c>
      <c r="D703" t="s">
        <v>902</v>
      </c>
      <c r="E703" t="s">
        <v>427</v>
      </c>
      <c r="F703">
        <v>2025</v>
      </c>
      <c r="G703">
        <v>1</v>
      </c>
      <c r="H703" t="s">
        <v>774</v>
      </c>
      <c r="I703" t="s">
        <v>775</v>
      </c>
      <c r="J703">
        <v>3</v>
      </c>
      <c r="K703">
        <v>45</v>
      </c>
      <c r="L703">
        <v>45</v>
      </c>
      <c r="S703" t="s">
        <v>776</v>
      </c>
      <c r="U703" t="s">
        <v>721</v>
      </c>
      <c r="X703" t="s">
        <v>5</v>
      </c>
    </row>
    <row r="704" spans="1:24" x14ac:dyDescent="0.25">
      <c r="A704" t="s">
        <v>772</v>
      </c>
      <c r="D704" t="s">
        <v>902</v>
      </c>
      <c r="E704" t="s">
        <v>427</v>
      </c>
      <c r="F704">
        <v>2025</v>
      </c>
      <c r="G704">
        <v>1</v>
      </c>
      <c r="H704" t="s">
        <v>777</v>
      </c>
      <c r="I704" t="s">
        <v>778</v>
      </c>
      <c r="J704">
        <v>3</v>
      </c>
      <c r="K704">
        <v>45</v>
      </c>
      <c r="L704">
        <v>45</v>
      </c>
      <c r="S704" t="s">
        <v>776</v>
      </c>
      <c r="U704" t="s">
        <v>721</v>
      </c>
      <c r="X704" t="s">
        <v>5</v>
      </c>
    </row>
    <row r="705" spans="1:24" x14ac:dyDescent="0.25">
      <c r="A705" t="s">
        <v>772</v>
      </c>
      <c r="D705" t="s">
        <v>902</v>
      </c>
      <c r="E705" t="s">
        <v>427</v>
      </c>
      <c r="F705">
        <v>2025</v>
      </c>
      <c r="G705">
        <v>1</v>
      </c>
      <c r="H705" t="s">
        <v>779</v>
      </c>
      <c r="I705" t="s">
        <v>780</v>
      </c>
      <c r="J705">
        <v>3</v>
      </c>
      <c r="K705">
        <v>45</v>
      </c>
      <c r="L705">
        <v>45</v>
      </c>
      <c r="S705" t="s">
        <v>781</v>
      </c>
      <c r="U705" t="s">
        <v>721</v>
      </c>
      <c r="X705" t="s">
        <v>5</v>
      </c>
    </row>
    <row r="706" spans="1:24" x14ac:dyDescent="0.25">
      <c r="A706" t="s">
        <v>772</v>
      </c>
      <c r="D706" t="s">
        <v>902</v>
      </c>
      <c r="E706" t="s">
        <v>427</v>
      </c>
      <c r="F706">
        <v>2025</v>
      </c>
      <c r="G706">
        <v>1</v>
      </c>
      <c r="H706" t="s">
        <v>719</v>
      </c>
      <c r="I706" t="s">
        <v>720</v>
      </c>
      <c r="J706">
        <v>3</v>
      </c>
      <c r="K706">
        <v>45</v>
      </c>
      <c r="L706">
        <v>45</v>
      </c>
      <c r="S706" t="s">
        <v>776</v>
      </c>
      <c r="U706" t="s">
        <v>721</v>
      </c>
      <c r="X706" t="s">
        <v>5</v>
      </c>
    </row>
    <row r="707" spans="1:24" x14ac:dyDescent="0.25">
      <c r="A707" t="s">
        <v>772</v>
      </c>
      <c r="D707" t="s">
        <v>902</v>
      </c>
      <c r="E707" t="s">
        <v>427</v>
      </c>
      <c r="F707">
        <v>2025</v>
      </c>
      <c r="G707">
        <v>1</v>
      </c>
      <c r="H707" t="s">
        <v>782</v>
      </c>
      <c r="I707" t="s">
        <v>783</v>
      </c>
      <c r="J707">
        <v>3</v>
      </c>
      <c r="K707">
        <v>45</v>
      </c>
      <c r="L707">
        <v>45</v>
      </c>
      <c r="S707" t="s">
        <v>781</v>
      </c>
      <c r="U707" t="s">
        <v>721</v>
      </c>
      <c r="X707" t="s">
        <v>5</v>
      </c>
    </row>
    <row r="708" spans="1:24" x14ac:dyDescent="0.25">
      <c r="A708" t="s">
        <v>772</v>
      </c>
      <c r="D708" t="s">
        <v>902</v>
      </c>
      <c r="E708" t="s">
        <v>427</v>
      </c>
      <c r="F708">
        <v>2025</v>
      </c>
      <c r="G708">
        <v>1</v>
      </c>
      <c r="H708" t="s">
        <v>784</v>
      </c>
      <c r="I708" t="s">
        <v>785</v>
      </c>
      <c r="J708">
        <v>3</v>
      </c>
      <c r="K708">
        <v>45</v>
      </c>
      <c r="L708">
        <v>45</v>
      </c>
      <c r="S708" t="s">
        <v>776</v>
      </c>
      <c r="U708" t="s">
        <v>721</v>
      </c>
      <c r="X708" t="s">
        <v>5</v>
      </c>
    </row>
    <row r="709" spans="1:24" x14ac:dyDescent="0.25">
      <c r="A709" t="s">
        <v>772</v>
      </c>
      <c r="D709" t="s">
        <v>902</v>
      </c>
      <c r="E709" t="s">
        <v>427</v>
      </c>
      <c r="F709">
        <v>2025</v>
      </c>
      <c r="G709">
        <v>1</v>
      </c>
      <c r="H709" t="s">
        <v>786</v>
      </c>
      <c r="I709" t="s">
        <v>787</v>
      </c>
      <c r="J709">
        <v>3</v>
      </c>
      <c r="K709">
        <v>45</v>
      </c>
      <c r="L709">
        <v>45</v>
      </c>
      <c r="S709" t="s">
        <v>788</v>
      </c>
      <c r="U709" t="s">
        <v>687</v>
      </c>
      <c r="X709" t="s">
        <v>5</v>
      </c>
    </row>
    <row r="710" spans="1:24" x14ac:dyDescent="0.25">
      <c r="A710" t="s">
        <v>772</v>
      </c>
      <c r="D710" t="s">
        <v>902</v>
      </c>
      <c r="E710" t="s">
        <v>427</v>
      </c>
      <c r="F710">
        <v>2025</v>
      </c>
      <c r="G710">
        <v>1</v>
      </c>
      <c r="H710" t="s">
        <v>239</v>
      </c>
      <c r="I710" t="s">
        <v>240</v>
      </c>
      <c r="J710">
        <v>3</v>
      </c>
      <c r="K710">
        <v>45</v>
      </c>
      <c r="L710">
        <v>45</v>
      </c>
      <c r="S710" t="s">
        <v>788</v>
      </c>
      <c r="U710" t="s">
        <v>687</v>
      </c>
      <c r="X710" t="s">
        <v>5</v>
      </c>
    </row>
    <row r="711" spans="1:24" x14ac:dyDescent="0.25">
      <c r="A711" t="s">
        <v>772</v>
      </c>
      <c r="D711" t="s">
        <v>902</v>
      </c>
      <c r="E711" t="s">
        <v>427</v>
      </c>
      <c r="F711">
        <v>2025</v>
      </c>
      <c r="G711">
        <v>1</v>
      </c>
      <c r="H711" t="s">
        <v>789</v>
      </c>
      <c r="I711" t="s">
        <v>251</v>
      </c>
      <c r="J711">
        <v>3</v>
      </c>
      <c r="K711">
        <v>45</v>
      </c>
      <c r="L711">
        <v>45</v>
      </c>
      <c r="S711" t="s">
        <v>788</v>
      </c>
      <c r="U711" t="s">
        <v>687</v>
      </c>
      <c r="X711" t="s">
        <v>5</v>
      </c>
    </row>
    <row r="712" spans="1:24" x14ac:dyDescent="0.25">
      <c r="A712" t="s">
        <v>772</v>
      </c>
      <c r="D712" t="s">
        <v>902</v>
      </c>
      <c r="E712" t="s">
        <v>427</v>
      </c>
      <c r="F712">
        <v>2025</v>
      </c>
      <c r="G712">
        <v>1</v>
      </c>
      <c r="H712" t="s">
        <v>790</v>
      </c>
      <c r="I712" t="s">
        <v>791</v>
      </c>
      <c r="J712">
        <v>3</v>
      </c>
      <c r="K712">
        <v>45</v>
      </c>
      <c r="L712">
        <v>45</v>
      </c>
      <c r="S712" t="s">
        <v>788</v>
      </c>
      <c r="U712" t="s">
        <v>687</v>
      </c>
      <c r="X712" t="s">
        <v>5</v>
      </c>
    </row>
    <row r="713" spans="1:24" x14ac:dyDescent="0.25">
      <c r="A713" t="s">
        <v>772</v>
      </c>
      <c r="D713" t="s">
        <v>902</v>
      </c>
      <c r="E713" t="s">
        <v>427</v>
      </c>
      <c r="F713">
        <v>2025</v>
      </c>
      <c r="G713">
        <v>1</v>
      </c>
      <c r="H713" t="s">
        <v>792</v>
      </c>
      <c r="I713" t="s">
        <v>793</v>
      </c>
      <c r="J713">
        <v>3</v>
      </c>
      <c r="K713">
        <v>45</v>
      </c>
      <c r="L713">
        <v>45</v>
      </c>
      <c r="S713" t="s">
        <v>788</v>
      </c>
      <c r="U713" t="s">
        <v>687</v>
      </c>
      <c r="X713" t="s">
        <v>5</v>
      </c>
    </row>
    <row r="714" spans="1:24" x14ac:dyDescent="0.25">
      <c r="A714" t="s">
        <v>794</v>
      </c>
      <c r="D714" t="s">
        <v>902</v>
      </c>
      <c r="E714" t="s">
        <v>428</v>
      </c>
      <c r="F714">
        <v>2025</v>
      </c>
      <c r="G714">
        <v>1</v>
      </c>
      <c r="H714" t="s">
        <v>795</v>
      </c>
      <c r="I714" t="s">
        <v>796</v>
      </c>
      <c r="J714">
        <v>2</v>
      </c>
      <c r="K714">
        <v>30</v>
      </c>
      <c r="L714">
        <v>30</v>
      </c>
      <c r="U714" t="s">
        <v>797</v>
      </c>
      <c r="X714" t="s">
        <v>5</v>
      </c>
    </row>
    <row r="715" spans="1:24" x14ac:dyDescent="0.25">
      <c r="A715" t="s">
        <v>794</v>
      </c>
      <c r="D715" t="s">
        <v>902</v>
      </c>
      <c r="E715" t="s">
        <v>428</v>
      </c>
      <c r="F715">
        <v>2025</v>
      </c>
      <c r="G715">
        <v>1</v>
      </c>
      <c r="H715" t="s">
        <v>798</v>
      </c>
      <c r="I715" t="s">
        <v>799</v>
      </c>
      <c r="J715">
        <v>3</v>
      </c>
      <c r="K715">
        <v>45</v>
      </c>
      <c r="L715">
        <v>45</v>
      </c>
      <c r="U715" t="s">
        <v>728</v>
      </c>
      <c r="X715" t="s">
        <v>5</v>
      </c>
    </row>
    <row r="716" spans="1:24" x14ac:dyDescent="0.25">
      <c r="A716" t="s">
        <v>794</v>
      </c>
      <c r="D716" t="s">
        <v>902</v>
      </c>
      <c r="E716" t="s">
        <v>428</v>
      </c>
      <c r="F716">
        <v>2025</v>
      </c>
      <c r="G716">
        <v>1</v>
      </c>
      <c r="H716" t="s">
        <v>800</v>
      </c>
      <c r="I716" t="s">
        <v>801</v>
      </c>
      <c r="J716">
        <v>2</v>
      </c>
      <c r="K716">
        <v>30</v>
      </c>
      <c r="L716">
        <v>30</v>
      </c>
      <c r="X716" t="s">
        <v>5</v>
      </c>
    </row>
    <row r="717" spans="1:24" x14ac:dyDescent="0.25">
      <c r="A717" t="s">
        <v>794</v>
      </c>
      <c r="D717" t="s">
        <v>902</v>
      </c>
      <c r="E717" t="s">
        <v>428</v>
      </c>
      <c r="F717">
        <v>2025</v>
      </c>
      <c r="G717">
        <v>1</v>
      </c>
      <c r="H717" t="s">
        <v>802</v>
      </c>
      <c r="I717" t="s">
        <v>803</v>
      </c>
      <c r="J717">
        <v>1</v>
      </c>
      <c r="K717">
        <v>15</v>
      </c>
      <c r="L717">
        <v>15</v>
      </c>
      <c r="X717" t="s">
        <v>5</v>
      </c>
    </row>
    <row r="718" spans="1:24" x14ac:dyDescent="0.25">
      <c r="A718" t="s">
        <v>794</v>
      </c>
      <c r="D718" t="s">
        <v>902</v>
      </c>
      <c r="E718" t="s">
        <v>428</v>
      </c>
      <c r="F718">
        <v>2025</v>
      </c>
      <c r="G718">
        <v>1</v>
      </c>
      <c r="H718" t="s">
        <v>804</v>
      </c>
      <c r="I718" t="s">
        <v>805</v>
      </c>
      <c r="J718">
        <v>3</v>
      </c>
      <c r="K718">
        <v>45</v>
      </c>
      <c r="L718">
        <v>45</v>
      </c>
      <c r="S718" t="s">
        <v>806</v>
      </c>
      <c r="U718" t="s">
        <v>807</v>
      </c>
      <c r="X718" t="s">
        <v>5</v>
      </c>
    </row>
    <row r="719" spans="1:24" x14ac:dyDescent="0.25">
      <c r="A719" t="s">
        <v>794</v>
      </c>
      <c r="D719" t="s">
        <v>902</v>
      </c>
      <c r="E719" t="s">
        <v>428</v>
      </c>
      <c r="F719">
        <v>2025</v>
      </c>
      <c r="G719">
        <v>1</v>
      </c>
      <c r="H719" t="s">
        <v>808</v>
      </c>
      <c r="I719" t="s">
        <v>809</v>
      </c>
      <c r="J719">
        <v>3</v>
      </c>
      <c r="K719">
        <v>45</v>
      </c>
      <c r="L719">
        <v>45</v>
      </c>
      <c r="S719" t="s">
        <v>806</v>
      </c>
      <c r="U719" t="s">
        <v>807</v>
      </c>
      <c r="X719" t="s">
        <v>5</v>
      </c>
    </row>
    <row r="720" spans="1:24" x14ac:dyDescent="0.25">
      <c r="A720" t="s">
        <v>794</v>
      </c>
      <c r="D720" t="s">
        <v>902</v>
      </c>
      <c r="E720" t="s">
        <v>428</v>
      </c>
      <c r="F720">
        <v>2025</v>
      </c>
      <c r="G720">
        <v>1</v>
      </c>
      <c r="H720" t="s">
        <v>810</v>
      </c>
      <c r="I720" t="s">
        <v>811</v>
      </c>
      <c r="J720">
        <v>3</v>
      </c>
      <c r="K720">
        <v>45</v>
      </c>
      <c r="L720">
        <v>45</v>
      </c>
      <c r="S720" t="s">
        <v>806</v>
      </c>
      <c r="U720" t="s">
        <v>807</v>
      </c>
      <c r="X720" t="s">
        <v>5</v>
      </c>
    </row>
    <row r="721" spans="1:24" x14ac:dyDescent="0.25">
      <c r="A721" t="s">
        <v>794</v>
      </c>
      <c r="D721" t="s">
        <v>902</v>
      </c>
      <c r="E721" t="s">
        <v>428</v>
      </c>
      <c r="F721">
        <v>2025</v>
      </c>
      <c r="G721">
        <v>1</v>
      </c>
      <c r="H721" t="s">
        <v>812</v>
      </c>
      <c r="I721" t="s">
        <v>813</v>
      </c>
      <c r="J721">
        <v>3</v>
      </c>
      <c r="K721">
        <v>45</v>
      </c>
      <c r="L721">
        <v>45</v>
      </c>
      <c r="S721" t="s">
        <v>814</v>
      </c>
      <c r="U721" t="s">
        <v>815</v>
      </c>
      <c r="X721" t="s">
        <v>5</v>
      </c>
    </row>
    <row r="722" spans="1:24" x14ac:dyDescent="0.25">
      <c r="A722" t="s">
        <v>794</v>
      </c>
      <c r="D722" t="s">
        <v>902</v>
      </c>
      <c r="E722" t="s">
        <v>428</v>
      </c>
      <c r="F722">
        <v>2025</v>
      </c>
      <c r="G722">
        <v>1</v>
      </c>
      <c r="H722" t="s">
        <v>816</v>
      </c>
      <c r="I722" t="s">
        <v>817</v>
      </c>
      <c r="J722">
        <v>3</v>
      </c>
      <c r="K722">
        <v>45</v>
      </c>
      <c r="L722">
        <v>45</v>
      </c>
      <c r="S722" t="s">
        <v>818</v>
      </c>
      <c r="U722" t="s">
        <v>819</v>
      </c>
      <c r="X722" t="s">
        <v>5</v>
      </c>
    </row>
    <row r="723" spans="1:24" x14ac:dyDescent="0.25">
      <c r="A723" t="s">
        <v>794</v>
      </c>
      <c r="D723" t="s">
        <v>902</v>
      </c>
      <c r="E723" t="s">
        <v>428</v>
      </c>
      <c r="F723">
        <v>2025</v>
      </c>
      <c r="G723">
        <v>1</v>
      </c>
      <c r="H723" t="s">
        <v>820</v>
      </c>
      <c r="I723" t="s">
        <v>821</v>
      </c>
      <c r="J723">
        <v>3</v>
      </c>
      <c r="K723">
        <v>45</v>
      </c>
      <c r="L723">
        <v>45</v>
      </c>
      <c r="S723" t="s">
        <v>818</v>
      </c>
      <c r="U723" t="s">
        <v>771</v>
      </c>
      <c r="X723" t="s">
        <v>5</v>
      </c>
    </row>
    <row r="724" spans="1:24" x14ac:dyDescent="0.25">
      <c r="A724" t="s">
        <v>794</v>
      </c>
      <c r="D724" t="s">
        <v>902</v>
      </c>
      <c r="E724" t="s">
        <v>428</v>
      </c>
      <c r="F724">
        <v>2025</v>
      </c>
      <c r="G724">
        <v>1</v>
      </c>
      <c r="H724" t="s">
        <v>822</v>
      </c>
      <c r="I724" t="s">
        <v>823</v>
      </c>
      <c r="J724">
        <v>3</v>
      </c>
      <c r="K724">
        <v>45</v>
      </c>
      <c r="L724">
        <v>45</v>
      </c>
      <c r="S724" t="s">
        <v>814</v>
      </c>
      <c r="U724" t="s">
        <v>815</v>
      </c>
      <c r="X724" t="s">
        <v>5</v>
      </c>
    </row>
    <row r="725" spans="1:24" x14ac:dyDescent="0.25">
      <c r="A725" t="s">
        <v>794</v>
      </c>
      <c r="D725" t="s">
        <v>902</v>
      </c>
      <c r="E725" t="s">
        <v>428</v>
      </c>
      <c r="F725">
        <v>2025</v>
      </c>
      <c r="G725">
        <v>1</v>
      </c>
      <c r="H725" t="s">
        <v>824</v>
      </c>
      <c r="I725" t="s">
        <v>825</v>
      </c>
      <c r="J725">
        <v>3</v>
      </c>
      <c r="K725">
        <v>45</v>
      </c>
      <c r="L725">
        <v>45</v>
      </c>
      <c r="S725" t="s">
        <v>814</v>
      </c>
      <c r="U725" t="s">
        <v>815</v>
      </c>
      <c r="X725" t="s">
        <v>5</v>
      </c>
    </row>
    <row r="726" spans="1:24" x14ac:dyDescent="0.25">
      <c r="A726" t="s">
        <v>794</v>
      </c>
      <c r="D726" t="s">
        <v>902</v>
      </c>
      <c r="E726" t="s">
        <v>428</v>
      </c>
      <c r="F726">
        <v>2025</v>
      </c>
      <c r="G726">
        <v>1</v>
      </c>
      <c r="H726" t="s">
        <v>826</v>
      </c>
      <c r="I726" t="s">
        <v>827</v>
      </c>
      <c r="J726">
        <v>3</v>
      </c>
      <c r="K726">
        <v>45</v>
      </c>
      <c r="L726">
        <v>45</v>
      </c>
      <c r="S726" t="s">
        <v>818</v>
      </c>
      <c r="U726" t="s">
        <v>797</v>
      </c>
      <c r="X726" t="s">
        <v>5</v>
      </c>
    </row>
    <row r="727" spans="1:24" x14ac:dyDescent="0.25">
      <c r="A727" t="s">
        <v>828</v>
      </c>
      <c r="D727" t="str">
        <f>LEFT(A727,2)</f>
        <v>K9</v>
      </c>
      <c r="E727" t="s">
        <v>416</v>
      </c>
      <c r="F727">
        <v>2025</v>
      </c>
      <c r="G727">
        <v>1</v>
      </c>
      <c r="H727" t="s">
        <v>320</v>
      </c>
      <c r="I727" t="s">
        <v>145</v>
      </c>
      <c r="J727">
        <v>3</v>
      </c>
      <c r="K727">
        <v>45</v>
      </c>
      <c r="L727">
        <v>45</v>
      </c>
      <c r="U727" t="s">
        <v>832</v>
      </c>
      <c r="X727" t="s">
        <v>5</v>
      </c>
    </row>
    <row r="728" spans="1:24" x14ac:dyDescent="0.25">
      <c r="A728" t="s">
        <v>828</v>
      </c>
      <c r="D728" t="str">
        <f t="shared" ref="D728:D763" si="8">LEFT(A728,2)</f>
        <v>K9</v>
      </c>
      <c r="E728" t="s">
        <v>416</v>
      </c>
      <c r="F728">
        <v>2025</v>
      </c>
      <c r="G728">
        <v>1</v>
      </c>
      <c r="H728" t="s">
        <v>833</v>
      </c>
      <c r="I728" t="s">
        <v>834</v>
      </c>
      <c r="J728">
        <v>3</v>
      </c>
      <c r="K728">
        <v>45</v>
      </c>
      <c r="L728">
        <v>45</v>
      </c>
      <c r="U728" t="s">
        <v>835</v>
      </c>
      <c r="X728" t="s">
        <v>5</v>
      </c>
    </row>
    <row r="729" spans="1:24" x14ac:dyDescent="0.25">
      <c r="A729" t="s">
        <v>828</v>
      </c>
      <c r="D729" t="str">
        <f t="shared" si="8"/>
        <v>K9</v>
      </c>
      <c r="E729" t="s">
        <v>416</v>
      </c>
      <c r="F729">
        <v>2025</v>
      </c>
      <c r="G729">
        <v>1</v>
      </c>
      <c r="H729" t="s">
        <v>836</v>
      </c>
      <c r="I729" t="s">
        <v>837</v>
      </c>
      <c r="J729">
        <v>3</v>
      </c>
      <c r="K729">
        <v>45</v>
      </c>
      <c r="L729">
        <v>45</v>
      </c>
      <c r="U729" t="s">
        <v>290</v>
      </c>
      <c r="X729" t="s">
        <v>5</v>
      </c>
    </row>
    <row r="730" spans="1:24" x14ac:dyDescent="0.25">
      <c r="A730" t="s">
        <v>828</v>
      </c>
      <c r="D730" t="str">
        <f t="shared" si="8"/>
        <v>K9</v>
      </c>
      <c r="E730" t="s">
        <v>416</v>
      </c>
      <c r="F730">
        <v>2025</v>
      </c>
      <c r="G730">
        <v>1</v>
      </c>
      <c r="H730" t="s">
        <v>838</v>
      </c>
      <c r="I730" t="s">
        <v>707</v>
      </c>
      <c r="J730">
        <v>3</v>
      </c>
      <c r="K730">
        <v>45</v>
      </c>
      <c r="L730">
        <v>45</v>
      </c>
      <c r="U730" t="s">
        <v>835</v>
      </c>
      <c r="X730" t="s">
        <v>5</v>
      </c>
    </row>
    <row r="731" spans="1:24" x14ac:dyDescent="0.25">
      <c r="A731" t="s">
        <v>828</v>
      </c>
      <c r="D731" t="str">
        <f t="shared" si="8"/>
        <v>K9</v>
      </c>
      <c r="E731" t="s">
        <v>416</v>
      </c>
      <c r="F731">
        <v>2025</v>
      </c>
      <c r="G731">
        <v>1</v>
      </c>
      <c r="H731" t="s">
        <v>839</v>
      </c>
      <c r="I731" t="s">
        <v>840</v>
      </c>
      <c r="J731">
        <v>3</v>
      </c>
      <c r="K731">
        <v>45</v>
      </c>
      <c r="L731">
        <v>45</v>
      </c>
      <c r="S731" t="s">
        <v>830</v>
      </c>
      <c r="U731" t="s">
        <v>841</v>
      </c>
      <c r="X731" t="s">
        <v>5</v>
      </c>
    </row>
    <row r="732" spans="1:24" x14ac:dyDescent="0.25">
      <c r="A732" t="s">
        <v>828</v>
      </c>
      <c r="D732" t="str">
        <f t="shared" si="8"/>
        <v>K9</v>
      </c>
      <c r="E732" t="s">
        <v>416</v>
      </c>
      <c r="F732">
        <v>2025</v>
      </c>
      <c r="G732">
        <v>1</v>
      </c>
      <c r="H732" t="s">
        <v>842</v>
      </c>
      <c r="I732" t="s">
        <v>840</v>
      </c>
      <c r="J732">
        <v>3</v>
      </c>
      <c r="K732">
        <v>45</v>
      </c>
      <c r="L732">
        <v>45</v>
      </c>
      <c r="S732" t="s">
        <v>831</v>
      </c>
      <c r="U732" t="s">
        <v>843</v>
      </c>
      <c r="X732" t="s">
        <v>5</v>
      </c>
    </row>
    <row r="733" spans="1:24" x14ac:dyDescent="0.25">
      <c r="A733" t="s">
        <v>844</v>
      </c>
      <c r="D733" t="str">
        <f t="shared" si="8"/>
        <v>K9</v>
      </c>
      <c r="E733" t="s">
        <v>423</v>
      </c>
      <c r="F733">
        <v>2025</v>
      </c>
      <c r="G733">
        <v>1</v>
      </c>
      <c r="H733" t="s">
        <v>846</v>
      </c>
      <c r="I733" t="s">
        <v>727</v>
      </c>
      <c r="J733">
        <v>3</v>
      </c>
      <c r="K733">
        <v>45</v>
      </c>
      <c r="L733">
        <v>45</v>
      </c>
      <c r="U733" t="s">
        <v>845</v>
      </c>
      <c r="X733" t="s">
        <v>5</v>
      </c>
    </row>
    <row r="734" spans="1:24" x14ac:dyDescent="0.25">
      <c r="A734" t="s">
        <v>844</v>
      </c>
      <c r="D734" t="str">
        <f t="shared" si="8"/>
        <v>K9</v>
      </c>
      <c r="E734" t="s">
        <v>423</v>
      </c>
      <c r="F734">
        <v>2025</v>
      </c>
      <c r="G734">
        <v>1</v>
      </c>
      <c r="H734" t="s">
        <v>847</v>
      </c>
      <c r="I734" t="s">
        <v>630</v>
      </c>
      <c r="J734">
        <v>3</v>
      </c>
      <c r="K734">
        <v>45</v>
      </c>
      <c r="L734">
        <v>45</v>
      </c>
      <c r="U734" t="s">
        <v>848</v>
      </c>
      <c r="X734" t="s">
        <v>5</v>
      </c>
    </row>
    <row r="735" spans="1:24" x14ac:dyDescent="0.25">
      <c r="A735" t="s">
        <v>844</v>
      </c>
      <c r="D735" t="str">
        <f t="shared" si="8"/>
        <v>K9</v>
      </c>
      <c r="E735" t="s">
        <v>423</v>
      </c>
      <c r="F735">
        <v>2025</v>
      </c>
      <c r="G735">
        <v>1</v>
      </c>
      <c r="H735" t="s">
        <v>849</v>
      </c>
      <c r="I735" t="s">
        <v>754</v>
      </c>
      <c r="J735">
        <v>3</v>
      </c>
      <c r="K735">
        <v>45</v>
      </c>
      <c r="L735">
        <v>45</v>
      </c>
      <c r="U735" t="s">
        <v>845</v>
      </c>
      <c r="X735" t="s">
        <v>5</v>
      </c>
    </row>
    <row r="736" spans="1:24" x14ac:dyDescent="0.25">
      <c r="A736" t="s">
        <v>844</v>
      </c>
      <c r="D736" t="str">
        <f t="shared" si="8"/>
        <v>K9</v>
      </c>
      <c r="E736" t="s">
        <v>423</v>
      </c>
      <c r="F736">
        <v>2025</v>
      </c>
      <c r="G736">
        <v>1</v>
      </c>
      <c r="H736" t="s">
        <v>850</v>
      </c>
      <c r="I736" t="s">
        <v>756</v>
      </c>
      <c r="J736">
        <v>3</v>
      </c>
      <c r="K736">
        <v>45</v>
      </c>
      <c r="L736">
        <v>45</v>
      </c>
      <c r="U736" t="s">
        <v>851</v>
      </c>
      <c r="X736" t="s">
        <v>5</v>
      </c>
    </row>
    <row r="737" spans="1:24" x14ac:dyDescent="0.25">
      <c r="A737" t="s">
        <v>844</v>
      </c>
      <c r="D737" t="str">
        <f t="shared" si="8"/>
        <v>K9</v>
      </c>
      <c r="E737" t="s">
        <v>423</v>
      </c>
      <c r="F737">
        <v>2025</v>
      </c>
      <c r="G737">
        <v>1</v>
      </c>
      <c r="H737" t="s">
        <v>852</v>
      </c>
      <c r="I737" t="s">
        <v>761</v>
      </c>
      <c r="J737">
        <v>3</v>
      </c>
      <c r="K737">
        <v>45</v>
      </c>
      <c r="L737">
        <v>45</v>
      </c>
      <c r="R737" t="s">
        <v>724</v>
      </c>
      <c r="U737" t="s">
        <v>853</v>
      </c>
    </row>
    <row r="738" spans="1:24" x14ac:dyDescent="0.25">
      <c r="A738" t="s">
        <v>844</v>
      </c>
      <c r="D738" t="str">
        <f t="shared" si="8"/>
        <v>K9</v>
      </c>
      <c r="E738" t="s">
        <v>423</v>
      </c>
      <c r="F738">
        <v>2025</v>
      </c>
      <c r="G738">
        <v>1</v>
      </c>
      <c r="H738" t="s">
        <v>854</v>
      </c>
      <c r="I738" t="s">
        <v>855</v>
      </c>
      <c r="J738">
        <v>3</v>
      </c>
      <c r="K738">
        <v>45</v>
      </c>
      <c r="L738">
        <v>45</v>
      </c>
      <c r="R738" t="s">
        <v>93</v>
      </c>
      <c r="U738" t="s">
        <v>851</v>
      </c>
      <c r="X738" t="s">
        <v>5</v>
      </c>
    </row>
    <row r="739" spans="1:24" x14ac:dyDescent="0.25">
      <c r="A739" t="s">
        <v>844</v>
      </c>
      <c r="D739" t="str">
        <f t="shared" si="8"/>
        <v>K9</v>
      </c>
      <c r="E739" t="s">
        <v>423</v>
      </c>
      <c r="F739">
        <v>2025</v>
      </c>
      <c r="G739">
        <v>1</v>
      </c>
      <c r="H739" t="s">
        <v>856</v>
      </c>
      <c r="I739" t="s">
        <v>766</v>
      </c>
      <c r="J739">
        <v>3</v>
      </c>
      <c r="K739">
        <v>45</v>
      </c>
      <c r="L739">
        <v>45</v>
      </c>
      <c r="R739" t="s">
        <v>724</v>
      </c>
      <c r="U739" t="s">
        <v>857</v>
      </c>
      <c r="X739" t="s">
        <v>5</v>
      </c>
    </row>
    <row r="740" spans="1:24" x14ac:dyDescent="0.25">
      <c r="A740" t="s">
        <v>844</v>
      </c>
      <c r="D740" t="str">
        <f t="shared" si="8"/>
        <v>K9</v>
      </c>
      <c r="E740" t="s">
        <v>423</v>
      </c>
      <c r="F740">
        <v>2025</v>
      </c>
      <c r="G740">
        <v>1</v>
      </c>
      <c r="H740" t="s">
        <v>858</v>
      </c>
      <c r="I740" t="s">
        <v>859</v>
      </c>
      <c r="J740">
        <v>3</v>
      </c>
      <c r="K740">
        <v>45</v>
      </c>
      <c r="L740">
        <v>45</v>
      </c>
      <c r="R740" t="s">
        <v>93</v>
      </c>
      <c r="U740" t="s">
        <v>860</v>
      </c>
      <c r="X740" t="s">
        <v>5</v>
      </c>
    </row>
    <row r="741" spans="1:24" x14ac:dyDescent="0.25">
      <c r="A741" t="s">
        <v>844</v>
      </c>
      <c r="D741" t="str">
        <f t="shared" si="8"/>
        <v>K9</v>
      </c>
      <c r="E741" t="s">
        <v>423</v>
      </c>
      <c r="F741">
        <v>2025</v>
      </c>
      <c r="G741">
        <v>1</v>
      </c>
      <c r="H741" t="s">
        <v>861</v>
      </c>
      <c r="I741" t="s">
        <v>770</v>
      </c>
      <c r="J741">
        <v>3</v>
      </c>
      <c r="K741">
        <v>45</v>
      </c>
      <c r="L741">
        <v>45</v>
      </c>
      <c r="R741" t="s">
        <v>724</v>
      </c>
      <c r="U741" t="s">
        <v>857</v>
      </c>
      <c r="X741" t="s">
        <v>5</v>
      </c>
    </row>
    <row r="742" spans="1:24" x14ac:dyDescent="0.25">
      <c r="A742" t="s">
        <v>862</v>
      </c>
      <c r="D742" t="str">
        <f t="shared" si="8"/>
        <v>K9</v>
      </c>
      <c r="E742" t="s">
        <v>427</v>
      </c>
      <c r="F742">
        <v>2025</v>
      </c>
      <c r="G742">
        <v>1</v>
      </c>
      <c r="H742" t="s">
        <v>865</v>
      </c>
      <c r="I742" t="s">
        <v>866</v>
      </c>
      <c r="J742">
        <v>3</v>
      </c>
      <c r="K742">
        <v>45</v>
      </c>
      <c r="L742">
        <v>45</v>
      </c>
      <c r="S742" t="s">
        <v>867</v>
      </c>
      <c r="U742" t="s">
        <v>864</v>
      </c>
      <c r="X742" t="s">
        <v>5</v>
      </c>
    </row>
    <row r="743" spans="1:24" x14ac:dyDescent="0.25">
      <c r="A743" t="s">
        <v>862</v>
      </c>
      <c r="D743" t="str">
        <f t="shared" si="8"/>
        <v>K9</v>
      </c>
      <c r="E743" t="s">
        <v>427</v>
      </c>
      <c r="F743">
        <v>2025</v>
      </c>
      <c r="G743">
        <v>1</v>
      </c>
      <c r="H743" t="s">
        <v>868</v>
      </c>
      <c r="I743" t="s">
        <v>775</v>
      </c>
      <c r="J743">
        <v>3</v>
      </c>
      <c r="K743">
        <v>45</v>
      </c>
      <c r="L743">
        <v>45</v>
      </c>
      <c r="S743" t="s">
        <v>867</v>
      </c>
      <c r="U743" t="s">
        <v>864</v>
      </c>
      <c r="X743" t="s">
        <v>5</v>
      </c>
    </row>
    <row r="744" spans="1:24" x14ac:dyDescent="0.25">
      <c r="A744" t="s">
        <v>862</v>
      </c>
      <c r="D744" t="str">
        <f t="shared" si="8"/>
        <v>K9</v>
      </c>
      <c r="E744" t="s">
        <v>427</v>
      </c>
      <c r="F744">
        <v>2025</v>
      </c>
      <c r="G744">
        <v>1</v>
      </c>
      <c r="H744" t="s">
        <v>869</v>
      </c>
      <c r="I744" t="s">
        <v>778</v>
      </c>
      <c r="J744">
        <v>3</v>
      </c>
      <c r="K744">
        <v>45</v>
      </c>
      <c r="L744">
        <v>45</v>
      </c>
      <c r="S744" t="s">
        <v>867</v>
      </c>
      <c r="U744" t="s">
        <v>864</v>
      </c>
      <c r="X744" t="s">
        <v>5</v>
      </c>
    </row>
    <row r="745" spans="1:24" x14ac:dyDescent="0.25">
      <c r="A745" t="s">
        <v>862</v>
      </c>
      <c r="D745" t="str">
        <f t="shared" si="8"/>
        <v>K9</v>
      </c>
      <c r="E745" t="s">
        <v>427</v>
      </c>
      <c r="F745">
        <v>2025</v>
      </c>
      <c r="G745">
        <v>1</v>
      </c>
      <c r="H745" t="s">
        <v>870</v>
      </c>
      <c r="I745" t="s">
        <v>783</v>
      </c>
      <c r="J745">
        <v>3</v>
      </c>
      <c r="K745">
        <v>45</v>
      </c>
      <c r="L745">
        <v>45</v>
      </c>
      <c r="S745" t="s">
        <v>781</v>
      </c>
      <c r="U745" t="s">
        <v>864</v>
      </c>
    </row>
    <row r="746" spans="1:24" x14ac:dyDescent="0.25">
      <c r="A746" t="s">
        <v>862</v>
      </c>
      <c r="D746" t="str">
        <f t="shared" si="8"/>
        <v>K9</v>
      </c>
      <c r="E746" t="s">
        <v>427</v>
      </c>
      <c r="F746">
        <v>2025</v>
      </c>
      <c r="G746">
        <v>1</v>
      </c>
      <c r="H746" t="s">
        <v>871</v>
      </c>
      <c r="I746" t="s">
        <v>720</v>
      </c>
      <c r="J746">
        <v>3</v>
      </c>
      <c r="K746">
        <v>45</v>
      </c>
      <c r="L746">
        <v>45</v>
      </c>
      <c r="S746" t="s">
        <v>867</v>
      </c>
      <c r="U746" t="s">
        <v>829</v>
      </c>
      <c r="X746" t="s">
        <v>5</v>
      </c>
    </row>
    <row r="747" spans="1:24" x14ac:dyDescent="0.25">
      <c r="A747" t="s">
        <v>862</v>
      </c>
      <c r="D747" t="str">
        <f t="shared" si="8"/>
        <v>K9</v>
      </c>
      <c r="E747" t="s">
        <v>427</v>
      </c>
      <c r="F747">
        <v>2025</v>
      </c>
      <c r="G747">
        <v>1</v>
      </c>
      <c r="H747" t="s">
        <v>872</v>
      </c>
      <c r="I747" t="s">
        <v>873</v>
      </c>
      <c r="J747">
        <v>3</v>
      </c>
      <c r="K747">
        <v>45</v>
      </c>
      <c r="L747">
        <v>45</v>
      </c>
      <c r="S747" t="s">
        <v>867</v>
      </c>
      <c r="U747" t="s">
        <v>864</v>
      </c>
      <c r="X747" t="s">
        <v>5</v>
      </c>
    </row>
    <row r="748" spans="1:24" x14ac:dyDescent="0.25">
      <c r="A748" t="s">
        <v>862</v>
      </c>
      <c r="D748" t="str">
        <f t="shared" si="8"/>
        <v>K9</v>
      </c>
      <c r="E748" t="s">
        <v>427</v>
      </c>
      <c r="F748">
        <v>2025</v>
      </c>
      <c r="G748">
        <v>1</v>
      </c>
      <c r="H748" t="s">
        <v>874</v>
      </c>
      <c r="I748" t="s">
        <v>780</v>
      </c>
      <c r="J748">
        <v>3</v>
      </c>
      <c r="K748">
        <v>45</v>
      </c>
      <c r="L748">
        <v>45</v>
      </c>
      <c r="S748" t="s">
        <v>781</v>
      </c>
      <c r="U748" t="s">
        <v>864</v>
      </c>
    </row>
    <row r="749" spans="1:24" x14ac:dyDescent="0.25">
      <c r="A749" t="s">
        <v>862</v>
      </c>
      <c r="D749" t="str">
        <f t="shared" si="8"/>
        <v>K9</v>
      </c>
      <c r="E749" t="s">
        <v>427</v>
      </c>
      <c r="F749">
        <v>2025</v>
      </c>
      <c r="G749">
        <v>1</v>
      </c>
      <c r="H749" t="s">
        <v>875</v>
      </c>
      <c r="I749" t="s">
        <v>238</v>
      </c>
      <c r="J749">
        <v>3</v>
      </c>
      <c r="K749">
        <v>45</v>
      </c>
      <c r="L749">
        <v>45</v>
      </c>
      <c r="S749" t="s">
        <v>876</v>
      </c>
      <c r="U749" t="s">
        <v>863</v>
      </c>
      <c r="X749" t="s">
        <v>5</v>
      </c>
    </row>
    <row r="750" spans="1:24" x14ac:dyDescent="0.25">
      <c r="A750" t="s">
        <v>862</v>
      </c>
      <c r="D750" t="str">
        <f t="shared" si="8"/>
        <v>K9</v>
      </c>
      <c r="E750" t="s">
        <v>427</v>
      </c>
      <c r="F750">
        <v>2025</v>
      </c>
      <c r="G750">
        <v>1</v>
      </c>
      <c r="H750" t="s">
        <v>877</v>
      </c>
      <c r="I750" t="s">
        <v>773</v>
      </c>
      <c r="J750">
        <v>3</v>
      </c>
      <c r="K750">
        <v>45</v>
      </c>
      <c r="L750">
        <v>45</v>
      </c>
      <c r="S750" t="s">
        <v>876</v>
      </c>
      <c r="U750" t="s">
        <v>878</v>
      </c>
      <c r="X750" t="s">
        <v>5</v>
      </c>
    </row>
    <row r="751" spans="1:24" x14ac:dyDescent="0.25">
      <c r="A751" t="s">
        <v>862</v>
      </c>
      <c r="D751" t="str">
        <f t="shared" si="8"/>
        <v>K9</v>
      </c>
      <c r="E751" t="s">
        <v>427</v>
      </c>
      <c r="F751">
        <v>2025</v>
      </c>
      <c r="G751">
        <v>1</v>
      </c>
      <c r="H751" t="s">
        <v>877</v>
      </c>
      <c r="I751" t="s">
        <v>773</v>
      </c>
      <c r="J751">
        <v>3</v>
      </c>
      <c r="K751">
        <v>45</v>
      </c>
      <c r="L751">
        <v>45</v>
      </c>
      <c r="S751" t="s">
        <v>781</v>
      </c>
      <c r="U751" t="s">
        <v>878</v>
      </c>
      <c r="X751" t="s">
        <v>5</v>
      </c>
    </row>
    <row r="752" spans="1:24" x14ac:dyDescent="0.25">
      <c r="A752" t="s">
        <v>862</v>
      </c>
      <c r="D752" t="str">
        <f t="shared" si="8"/>
        <v>K9</v>
      </c>
      <c r="E752" t="s">
        <v>427</v>
      </c>
      <c r="F752">
        <v>2025</v>
      </c>
      <c r="G752">
        <v>1</v>
      </c>
      <c r="H752" t="s">
        <v>879</v>
      </c>
      <c r="I752" t="s">
        <v>240</v>
      </c>
      <c r="J752">
        <v>3</v>
      </c>
      <c r="K752">
        <v>45</v>
      </c>
      <c r="L752">
        <v>45</v>
      </c>
      <c r="S752" t="s">
        <v>876</v>
      </c>
      <c r="U752" t="s">
        <v>878</v>
      </c>
      <c r="X752" t="s">
        <v>5</v>
      </c>
    </row>
    <row r="753" spans="1:24" x14ac:dyDescent="0.25">
      <c r="A753" t="s">
        <v>862</v>
      </c>
      <c r="D753" t="str">
        <f t="shared" si="8"/>
        <v>K9</v>
      </c>
      <c r="E753" t="s">
        <v>427</v>
      </c>
      <c r="F753">
        <v>2025</v>
      </c>
      <c r="G753">
        <v>1</v>
      </c>
      <c r="H753" t="s">
        <v>880</v>
      </c>
      <c r="I753" t="s">
        <v>787</v>
      </c>
      <c r="J753">
        <v>3</v>
      </c>
      <c r="K753">
        <v>45</v>
      </c>
      <c r="L753">
        <v>45</v>
      </c>
      <c r="S753" t="s">
        <v>876</v>
      </c>
      <c r="U753" t="s">
        <v>878</v>
      </c>
      <c r="X753" t="s">
        <v>5</v>
      </c>
    </row>
    <row r="754" spans="1:24" x14ac:dyDescent="0.25">
      <c r="A754" t="s">
        <v>862</v>
      </c>
      <c r="D754" t="str">
        <f t="shared" si="8"/>
        <v>K9</v>
      </c>
      <c r="E754" t="s">
        <v>427</v>
      </c>
      <c r="F754">
        <v>2025</v>
      </c>
      <c r="G754">
        <v>1</v>
      </c>
      <c r="H754" t="s">
        <v>881</v>
      </c>
      <c r="I754" t="s">
        <v>791</v>
      </c>
      <c r="J754">
        <v>3</v>
      </c>
      <c r="K754">
        <v>45</v>
      </c>
      <c r="L754">
        <v>45</v>
      </c>
      <c r="S754" t="s">
        <v>876</v>
      </c>
      <c r="U754" t="s">
        <v>878</v>
      </c>
      <c r="X754" t="s">
        <v>5</v>
      </c>
    </row>
    <row r="755" spans="1:24" x14ac:dyDescent="0.25">
      <c r="A755" t="s">
        <v>862</v>
      </c>
      <c r="D755" t="str">
        <f t="shared" si="8"/>
        <v>K9</v>
      </c>
      <c r="E755" t="s">
        <v>427</v>
      </c>
      <c r="F755">
        <v>2025</v>
      </c>
      <c r="G755">
        <v>1</v>
      </c>
      <c r="H755" t="s">
        <v>882</v>
      </c>
      <c r="I755" t="s">
        <v>793</v>
      </c>
      <c r="J755">
        <v>3</v>
      </c>
      <c r="K755">
        <v>45</v>
      </c>
      <c r="L755">
        <v>45</v>
      </c>
      <c r="S755" t="s">
        <v>876</v>
      </c>
      <c r="U755" t="s">
        <v>878</v>
      </c>
      <c r="X755" t="s">
        <v>5</v>
      </c>
    </row>
    <row r="756" spans="1:24" x14ac:dyDescent="0.25">
      <c r="A756" t="s">
        <v>883</v>
      </c>
      <c r="D756" t="str">
        <f t="shared" si="8"/>
        <v>K9</v>
      </c>
      <c r="E756" t="s">
        <v>428</v>
      </c>
      <c r="F756">
        <v>2025</v>
      </c>
      <c r="G756">
        <v>1</v>
      </c>
      <c r="H756" t="s">
        <v>885</v>
      </c>
      <c r="I756" t="s">
        <v>796</v>
      </c>
      <c r="J756">
        <v>2</v>
      </c>
      <c r="K756">
        <v>30</v>
      </c>
      <c r="L756">
        <v>30</v>
      </c>
      <c r="U756" t="s">
        <v>886</v>
      </c>
      <c r="X756" t="s">
        <v>5</v>
      </c>
    </row>
    <row r="757" spans="1:24" x14ac:dyDescent="0.25">
      <c r="A757" t="s">
        <v>883</v>
      </c>
      <c r="D757" t="str">
        <f t="shared" si="8"/>
        <v>K9</v>
      </c>
      <c r="E757" t="s">
        <v>428</v>
      </c>
      <c r="F757">
        <v>2025</v>
      </c>
      <c r="G757">
        <v>1</v>
      </c>
      <c r="H757" t="s">
        <v>887</v>
      </c>
      <c r="I757" t="s">
        <v>799</v>
      </c>
      <c r="J757">
        <v>3</v>
      </c>
      <c r="K757">
        <v>45</v>
      </c>
      <c r="L757">
        <v>45</v>
      </c>
      <c r="U757" t="s">
        <v>884</v>
      </c>
      <c r="X757" t="s">
        <v>5</v>
      </c>
    </row>
    <row r="758" spans="1:24" x14ac:dyDescent="0.25">
      <c r="A758" t="s">
        <v>883</v>
      </c>
      <c r="D758" t="str">
        <f t="shared" si="8"/>
        <v>K9</v>
      </c>
      <c r="E758" t="s">
        <v>428</v>
      </c>
      <c r="F758">
        <v>2025</v>
      </c>
      <c r="G758">
        <v>1</v>
      </c>
      <c r="H758" t="s">
        <v>888</v>
      </c>
      <c r="I758" t="s">
        <v>801</v>
      </c>
      <c r="J758">
        <v>2</v>
      </c>
      <c r="K758">
        <v>30</v>
      </c>
      <c r="L758">
        <v>30</v>
      </c>
      <c r="X758" t="s">
        <v>5</v>
      </c>
    </row>
    <row r="759" spans="1:24" x14ac:dyDescent="0.25">
      <c r="A759" t="s">
        <v>883</v>
      </c>
      <c r="D759" t="str">
        <f t="shared" si="8"/>
        <v>K9</v>
      </c>
      <c r="E759" t="s">
        <v>428</v>
      </c>
      <c r="F759">
        <v>2025</v>
      </c>
      <c r="G759">
        <v>1</v>
      </c>
      <c r="H759" t="s">
        <v>889</v>
      </c>
      <c r="I759" t="s">
        <v>803</v>
      </c>
      <c r="J759">
        <v>1</v>
      </c>
      <c r="K759">
        <v>15</v>
      </c>
      <c r="L759">
        <v>15</v>
      </c>
      <c r="U759" t="s">
        <v>890</v>
      </c>
      <c r="X759" t="s">
        <v>5</v>
      </c>
    </row>
    <row r="760" spans="1:24" x14ac:dyDescent="0.25">
      <c r="A760" t="s">
        <v>883</v>
      </c>
      <c r="D760" t="str">
        <f t="shared" si="8"/>
        <v>K9</v>
      </c>
      <c r="E760" t="s">
        <v>428</v>
      </c>
      <c r="F760">
        <v>2025</v>
      </c>
      <c r="G760">
        <v>1</v>
      </c>
      <c r="H760" t="s">
        <v>891</v>
      </c>
      <c r="I760" t="s">
        <v>809</v>
      </c>
      <c r="J760">
        <v>3</v>
      </c>
      <c r="K760">
        <v>45</v>
      </c>
      <c r="L760">
        <v>45</v>
      </c>
      <c r="R760" t="s">
        <v>892</v>
      </c>
      <c r="U760" t="s">
        <v>884</v>
      </c>
      <c r="X760" t="s">
        <v>5</v>
      </c>
    </row>
    <row r="761" spans="1:24" x14ac:dyDescent="0.25">
      <c r="A761" t="s">
        <v>883</v>
      </c>
      <c r="D761" t="str">
        <f t="shared" si="8"/>
        <v>K9</v>
      </c>
      <c r="E761" t="s">
        <v>428</v>
      </c>
      <c r="F761">
        <v>2025</v>
      </c>
      <c r="G761">
        <v>1</v>
      </c>
      <c r="H761" t="s">
        <v>893</v>
      </c>
      <c r="I761" t="s">
        <v>813</v>
      </c>
      <c r="J761">
        <v>3</v>
      </c>
      <c r="K761">
        <v>45</v>
      </c>
      <c r="L761">
        <v>45</v>
      </c>
      <c r="R761" t="s">
        <v>892</v>
      </c>
      <c r="U761" t="s">
        <v>894</v>
      </c>
      <c r="X761" t="s">
        <v>5</v>
      </c>
    </row>
    <row r="762" spans="1:24" x14ac:dyDescent="0.25">
      <c r="A762" t="s">
        <v>883</v>
      </c>
      <c r="D762" t="str">
        <f t="shared" si="8"/>
        <v>K9</v>
      </c>
      <c r="E762" t="s">
        <v>428</v>
      </c>
      <c r="F762">
        <v>2025</v>
      </c>
      <c r="G762">
        <v>1</v>
      </c>
      <c r="H762" t="s">
        <v>895</v>
      </c>
      <c r="I762" t="s">
        <v>817</v>
      </c>
      <c r="J762">
        <v>3</v>
      </c>
      <c r="K762">
        <v>45</v>
      </c>
      <c r="L762">
        <v>45</v>
      </c>
      <c r="R762" t="s">
        <v>892</v>
      </c>
      <c r="U762" t="s">
        <v>896</v>
      </c>
      <c r="X762" t="s">
        <v>5</v>
      </c>
    </row>
    <row r="763" spans="1:24" x14ac:dyDescent="0.25">
      <c r="A763" t="s">
        <v>883</v>
      </c>
      <c r="D763" t="str">
        <f t="shared" si="8"/>
        <v>K9</v>
      </c>
      <c r="E763" t="s">
        <v>428</v>
      </c>
      <c r="F763">
        <v>2025</v>
      </c>
      <c r="G763">
        <v>1</v>
      </c>
      <c r="H763" t="s">
        <v>897</v>
      </c>
      <c r="I763" t="s">
        <v>821</v>
      </c>
      <c r="J763">
        <v>3</v>
      </c>
      <c r="K763">
        <v>45</v>
      </c>
      <c r="L763">
        <v>45</v>
      </c>
      <c r="R763" t="s">
        <v>892</v>
      </c>
      <c r="U763" t="s">
        <v>890</v>
      </c>
      <c r="X763" t="s">
        <v>5</v>
      </c>
    </row>
  </sheetData>
  <autoFilter ref="A1:J763" xr:uid="{63F274D8-7E46-4611-931C-0D632CE67F2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4DF02-59EA-4918-9BDC-EBC5ADE850AE}">
  <dimension ref="A1:Y126"/>
  <sheetViews>
    <sheetView workbookViewId="0">
      <selection activeCell="H8" sqref="H7:H8"/>
    </sheetView>
  </sheetViews>
  <sheetFormatPr defaultRowHeight="15.75" x14ac:dyDescent="0.25"/>
  <cols>
    <col min="1" max="1" width="14.125" bestFit="1" customWidth="1"/>
    <col min="2" max="5" width="14.125" customWidth="1"/>
    <col min="6" max="6" width="10.125" bestFit="1" customWidth="1"/>
    <col min="7" max="7" width="12.5" bestFit="1" customWidth="1"/>
    <col min="8" max="8" width="10.625" bestFit="1" customWidth="1"/>
    <col min="9" max="9" width="52.875" bestFit="1" customWidth="1"/>
    <col min="10" max="10" width="8.125" bestFit="1" customWidth="1"/>
    <col min="11" max="11" width="5.25" bestFit="1" customWidth="1"/>
    <col min="12" max="12" width="5.375" bestFit="1" customWidth="1"/>
    <col min="13" max="13" width="5.625" bestFit="1" customWidth="1"/>
    <col min="14" max="15" width="5.375" bestFit="1" customWidth="1"/>
    <col min="16" max="16" width="5.75" bestFit="1" customWidth="1"/>
    <col min="17" max="17" width="5.5" bestFit="1" customWidth="1"/>
    <col min="18" max="18" width="14.625" bestFit="1" customWidth="1"/>
    <col min="19" max="19" width="31" bestFit="1" customWidth="1"/>
    <col min="20" max="20" width="9.75" bestFit="1" customWidth="1"/>
    <col min="21" max="21" width="44.125" bestFit="1" customWidth="1"/>
    <col min="22" max="23" width="12" bestFit="1" customWidth="1"/>
    <col min="24" max="24" width="13.125" bestFit="1" customWidth="1"/>
    <col min="25" max="25" width="15.75" bestFit="1" customWidth="1"/>
  </cols>
  <sheetData>
    <row r="1" spans="1:25" x14ac:dyDescent="0.25">
      <c r="A1" t="s">
        <v>596</v>
      </c>
      <c r="B1" t="s">
        <v>899</v>
      </c>
      <c r="C1" t="s">
        <v>898</v>
      </c>
      <c r="D1" t="s">
        <v>900</v>
      </c>
      <c r="E1" t="s">
        <v>901</v>
      </c>
      <c r="F1" t="s">
        <v>597</v>
      </c>
      <c r="G1" t="s">
        <v>598</v>
      </c>
      <c r="H1" t="s">
        <v>599</v>
      </c>
      <c r="I1" t="s">
        <v>600</v>
      </c>
      <c r="J1" t="s">
        <v>601</v>
      </c>
      <c r="K1" t="s">
        <v>602</v>
      </c>
      <c r="L1" t="s">
        <v>603</v>
      </c>
      <c r="M1" t="s">
        <v>604</v>
      </c>
      <c r="N1" t="s">
        <v>605</v>
      </c>
      <c r="O1" t="s">
        <v>606</v>
      </c>
      <c r="P1" t="s">
        <v>607</v>
      </c>
      <c r="Q1" t="s">
        <v>608</v>
      </c>
      <c r="R1" t="s">
        <v>609</v>
      </c>
      <c r="S1" t="s">
        <v>610</v>
      </c>
      <c r="T1" t="s">
        <v>611</v>
      </c>
      <c r="U1" t="s">
        <v>612</v>
      </c>
      <c r="V1" t="s">
        <v>613</v>
      </c>
      <c r="W1" t="s">
        <v>614</v>
      </c>
      <c r="X1" t="s">
        <v>615</v>
      </c>
      <c r="Y1" t="s">
        <v>616</v>
      </c>
    </row>
    <row r="2" spans="1:25" x14ac:dyDescent="0.25">
      <c r="A2" t="s">
        <v>617</v>
      </c>
      <c r="D2" t="str">
        <f>LEFT(K25___K9[[#This Row],[Source.Name]],3)</f>
        <v>K25</v>
      </c>
      <c r="E2" t="str">
        <f>MID(K25___K9[[#This Row],[Source.Name]],4,LEN(K25___K9[[#This Row],[Source.Name]])-7)</f>
        <v>ATC</v>
      </c>
      <c r="F2">
        <v>2025</v>
      </c>
      <c r="G2">
        <v>1</v>
      </c>
      <c r="H2" t="s">
        <v>619</v>
      </c>
      <c r="I2" t="s">
        <v>620</v>
      </c>
      <c r="J2">
        <v>3</v>
      </c>
      <c r="K2">
        <v>45</v>
      </c>
      <c r="L2">
        <v>45</v>
      </c>
      <c r="U2" t="s">
        <v>621</v>
      </c>
      <c r="X2" t="s">
        <v>5</v>
      </c>
    </row>
    <row r="3" spans="1:25" x14ac:dyDescent="0.25">
      <c r="A3" t="s">
        <v>617</v>
      </c>
      <c r="D3" t="str">
        <f>LEFT(K25___K9[[#This Row],[Source.Name]],3)</f>
        <v>K25</v>
      </c>
      <c r="E3" t="str">
        <f>MID(K25___K9[[#This Row],[Source.Name]],4,LEN(K25___K9[[#This Row],[Source.Name]])-7)</f>
        <v>ATC</v>
      </c>
      <c r="F3">
        <v>2025</v>
      </c>
      <c r="G3">
        <v>1</v>
      </c>
      <c r="H3" t="s">
        <v>622</v>
      </c>
      <c r="I3" t="s">
        <v>623</v>
      </c>
      <c r="J3">
        <v>3</v>
      </c>
      <c r="K3">
        <v>45</v>
      </c>
      <c r="L3">
        <v>45</v>
      </c>
      <c r="U3" t="s">
        <v>624</v>
      </c>
      <c r="X3" t="s">
        <v>5</v>
      </c>
    </row>
    <row r="4" spans="1:25" x14ac:dyDescent="0.25">
      <c r="A4" t="s">
        <v>617</v>
      </c>
      <c r="D4" t="str">
        <f>LEFT(K25___K9[[#This Row],[Source.Name]],3)</f>
        <v>K25</v>
      </c>
      <c r="E4" t="str">
        <f>MID(K25___K9[[#This Row],[Source.Name]],4,LEN(K25___K9[[#This Row],[Source.Name]])-7)</f>
        <v>ATC</v>
      </c>
      <c r="F4">
        <v>2025</v>
      </c>
      <c r="G4">
        <v>1</v>
      </c>
      <c r="H4" t="s">
        <v>625</v>
      </c>
      <c r="I4" t="s">
        <v>192</v>
      </c>
      <c r="J4">
        <v>3</v>
      </c>
      <c r="K4">
        <v>45</v>
      </c>
      <c r="L4">
        <v>45</v>
      </c>
      <c r="U4" t="s">
        <v>618</v>
      </c>
      <c r="X4" t="s">
        <v>5</v>
      </c>
    </row>
    <row r="5" spans="1:25" x14ac:dyDescent="0.25">
      <c r="A5" t="s">
        <v>617</v>
      </c>
      <c r="D5" t="str">
        <f>LEFT(K25___K9[[#This Row],[Source.Name]],3)</f>
        <v>K25</v>
      </c>
      <c r="E5" t="str">
        <f>MID(K25___K9[[#This Row],[Source.Name]],4,LEN(K25___K9[[#This Row],[Source.Name]])-7)</f>
        <v>ATC</v>
      </c>
      <c r="F5">
        <v>2025</v>
      </c>
      <c r="G5">
        <v>1</v>
      </c>
      <c r="H5" t="s">
        <v>626</v>
      </c>
      <c r="I5" t="s">
        <v>627</v>
      </c>
      <c r="J5">
        <v>3</v>
      </c>
      <c r="K5">
        <v>45</v>
      </c>
      <c r="L5">
        <v>45</v>
      </c>
      <c r="R5" t="s">
        <v>628</v>
      </c>
      <c r="U5" t="s">
        <v>621</v>
      </c>
      <c r="X5" t="s">
        <v>5</v>
      </c>
    </row>
    <row r="6" spans="1:25" x14ac:dyDescent="0.25">
      <c r="A6" t="s">
        <v>617</v>
      </c>
      <c r="D6" t="str">
        <f>LEFT(K25___K9[[#This Row],[Source.Name]],3)</f>
        <v>K25</v>
      </c>
      <c r="E6" t="str">
        <f>MID(K25___K9[[#This Row],[Source.Name]],4,LEN(K25___K9[[#This Row],[Source.Name]])-7)</f>
        <v>ATC</v>
      </c>
      <c r="F6">
        <v>2025</v>
      </c>
      <c r="G6">
        <v>1</v>
      </c>
      <c r="H6" t="s">
        <v>629</v>
      </c>
      <c r="I6" t="s">
        <v>630</v>
      </c>
      <c r="J6">
        <v>3</v>
      </c>
      <c r="K6">
        <v>45</v>
      </c>
      <c r="L6">
        <v>45</v>
      </c>
      <c r="R6" t="s">
        <v>628</v>
      </c>
      <c r="U6" t="s">
        <v>618</v>
      </c>
      <c r="X6" t="s">
        <v>5</v>
      </c>
    </row>
    <row r="7" spans="1:25" x14ac:dyDescent="0.25">
      <c r="A7" t="s">
        <v>617</v>
      </c>
      <c r="D7" t="str">
        <f>LEFT(K25___K9[[#This Row],[Source.Name]],3)</f>
        <v>K25</v>
      </c>
      <c r="E7" t="str">
        <f>MID(K25___K9[[#This Row],[Source.Name]],4,LEN(K25___K9[[#This Row],[Source.Name]])-7)</f>
        <v>ATC</v>
      </c>
      <c r="F7">
        <v>2025</v>
      </c>
      <c r="G7">
        <v>1</v>
      </c>
      <c r="H7" t="s">
        <v>631</v>
      </c>
      <c r="I7" t="s">
        <v>64</v>
      </c>
      <c r="J7">
        <v>3</v>
      </c>
      <c r="K7">
        <v>45</v>
      </c>
      <c r="L7">
        <v>45</v>
      </c>
      <c r="R7" t="s">
        <v>628</v>
      </c>
      <c r="X7" t="s">
        <v>5</v>
      </c>
    </row>
    <row r="8" spans="1:25" x14ac:dyDescent="0.25">
      <c r="A8" t="s">
        <v>617</v>
      </c>
      <c r="D8" t="str">
        <f>LEFT(K25___K9[[#This Row],[Source.Name]],3)</f>
        <v>K25</v>
      </c>
      <c r="E8" t="str">
        <f>MID(K25___K9[[#This Row],[Source.Name]],4,LEN(K25___K9[[#This Row],[Source.Name]])-7)</f>
        <v>ATC</v>
      </c>
      <c r="F8">
        <v>2025</v>
      </c>
      <c r="G8">
        <v>1</v>
      </c>
      <c r="H8" t="s">
        <v>632</v>
      </c>
      <c r="I8" t="s">
        <v>100</v>
      </c>
      <c r="J8">
        <v>3</v>
      </c>
      <c r="K8">
        <v>45</v>
      </c>
      <c r="L8">
        <v>45</v>
      </c>
      <c r="R8" t="s">
        <v>628</v>
      </c>
      <c r="X8" t="s">
        <v>5</v>
      </c>
    </row>
    <row r="9" spans="1:25" x14ac:dyDescent="0.25">
      <c r="A9" t="s">
        <v>633</v>
      </c>
      <c r="D9" t="str">
        <f>LEFT(K25___K9[[#This Row],[Source.Name]],3)</f>
        <v>K25</v>
      </c>
      <c r="E9" t="str">
        <f>MID(K25___K9[[#This Row],[Source.Name]],4,LEN(K25___K9[[#This Row],[Source.Name]])-7)</f>
        <v>CNTT</v>
      </c>
      <c r="F9">
        <v>2025</v>
      </c>
      <c r="G9">
        <v>1</v>
      </c>
      <c r="H9" t="s">
        <v>639</v>
      </c>
      <c r="I9" t="s">
        <v>640</v>
      </c>
      <c r="J9">
        <v>3</v>
      </c>
      <c r="K9">
        <v>45</v>
      </c>
      <c r="L9">
        <v>45</v>
      </c>
      <c r="U9" t="s">
        <v>641</v>
      </c>
      <c r="X9" t="s">
        <v>5</v>
      </c>
    </row>
    <row r="10" spans="1:25" x14ac:dyDescent="0.25">
      <c r="A10" t="s">
        <v>633</v>
      </c>
      <c r="D10" t="str">
        <f>LEFT(K25___K9[[#This Row],[Source.Name]],3)</f>
        <v>K25</v>
      </c>
      <c r="E10" t="str">
        <f>MID(K25___K9[[#This Row],[Source.Name]],4,LEN(K25___K9[[#This Row],[Source.Name]])-7)</f>
        <v>CNTT</v>
      </c>
      <c r="F10">
        <v>2025</v>
      </c>
      <c r="G10">
        <v>1</v>
      </c>
      <c r="H10" t="s">
        <v>642</v>
      </c>
      <c r="I10" t="s">
        <v>643</v>
      </c>
      <c r="J10">
        <v>3</v>
      </c>
      <c r="K10">
        <v>45</v>
      </c>
      <c r="L10">
        <v>45</v>
      </c>
      <c r="U10" t="s">
        <v>635</v>
      </c>
      <c r="X10" t="s">
        <v>5</v>
      </c>
    </row>
    <row r="11" spans="1:25" x14ac:dyDescent="0.25">
      <c r="A11" t="s">
        <v>633</v>
      </c>
      <c r="D11" t="str">
        <f>LEFT(K25___K9[[#This Row],[Source.Name]],3)</f>
        <v>K25</v>
      </c>
      <c r="E11" t="str">
        <f>MID(K25___K9[[#This Row],[Source.Name]],4,LEN(K25___K9[[#This Row],[Source.Name]])-7)</f>
        <v>CNTT</v>
      </c>
      <c r="F11">
        <v>2025</v>
      </c>
      <c r="G11">
        <v>1</v>
      </c>
      <c r="H11" t="s">
        <v>644</v>
      </c>
      <c r="I11" t="s">
        <v>645</v>
      </c>
      <c r="J11">
        <v>3</v>
      </c>
      <c r="K11">
        <v>45</v>
      </c>
      <c r="L11">
        <v>45</v>
      </c>
      <c r="U11" t="s">
        <v>646</v>
      </c>
      <c r="X11" t="s">
        <v>5</v>
      </c>
    </row>
    <row r="12" spans="1:25" x14ac:dyDescent="0.25">
      <c r="A12" t="s">
        <v>633</v>
      </c>
      <c r="D12" t="str">
        <f>LEFT(K25___K9[[#This Row],[Source.Name]],3)</f>
        <v>K25</v>
      </c>
      <c r="E12" t="str">
        <f>MID(K25___K9[[#This Row],[Source.Name]],4,LEN(K25___K9[[#This Row],[Source.Name]])-7)</f>
        <v>CNTT</v>
      </c>
      <c r="F12">
        <v>2025</v>
      </c>
      <c r="G12">
        <v>1</v>
      </c>
      <c r="H12" t="s">
        <v>647</v>
      </c>
      <c r="I12" t="s">
        <v>648</v>
      </c>
      <c r="J12">
        <v>3</v>
      </c>
      <c r="K12">
        <v>45</v>
      </c>
      <c r="L12">
        <v>45</v>
      </c>
      <c r="U12" t="s">
        <v>635</v>
      </c>
      <c r="X12" t="s">
        <v>5</v>
      </c>
    </row>
    <row r="13" spans="1:25" x14ac:dyDescent="0.25">
      <c r="A13" t="s">
        <v>633</v>
      </c>
      <c r="D13" t="str">
        <f>LEFT(K25___K9[[#This Row],[Source.Name]],3)</f>
        <v>K25</v>
      </c>
      <c r="E13" t="str">
        <f>MID(K25___K9[[#This Row],[Source.Name]],4,LEN(K25___K9[[#This Row],[Source.Name]])-7)</f>
        <v>CNTT</v>
      </c>
      <c r="F13">
        <v>2025</v>
      </c>
      <c r="G13">
        <v>1</v>
      </c>
      <c r="H13" t="s">
        <v>649</v>
      </c>
      <c r="I13" t="s">
        <v>650</v>
      </c>
      <c r="J13">
        <v>3</v>
      </c>
      <c r="K13">
        <v>45</v>
      </c>
      <c r="L13">
        <v>45</v>
      </c>
      <c r="R13" t="s">
        <v>93</v>
      </c>
      <c r="U13" t="s">
        <v>641</v>
      </c>
      <c r="X13" t="s">
        <v>5</v>
      </c>
    </row>
    <row r="14" spans="1:25" x14ac:dyDescent="0.25">
      <c r="A14" t="s">
        <v>633</v>
      </c>
      <c r="D14" t="str">
        <f>LEFT(K25___K9[[#This Row],[Source.Name]],3)</f>
        <v>K25</v>
      </c>
      <c r="E14" t="str">
        <f>MID(K25___K9[[#This Row],[Source.Name]],4,LEN(K25___K9[[#This Row],[Source.Name]])-7)</f>
        <v>CNTT</v>
      </c>
      <c r="F14">
        <v>2025</v>
      </c>
      <c r="G14">
        <v>1</v>
      </c>
      <c r="H14" t="s">
        <v>651</v>
      </c>
      <c r="I14" t="s">
        <v>652</v>
      </c>
      <c r="J14">
        <v>3</v>
      </c>
      <c r="K14">
        <v>45</v>
      </c>
      <c r="L14">
        <v>45</v>
      </c>
      <c r="R14" t="s">
        <v>93</v>
      </c>
      <c r="U14" t="s">
        <v>641</v>
      </c>
      <c r="X14" t="s">
        <v>5</v>
      </c>
    </row>
    <row r="15" spans="1:25" x14ac:dyDescent="0.25">
      <c r="A15" t="s">
        <v>653</v>
      </c>
      <c r="D15" t="str">
        <f>LEFT(K25___K9[[#This Row],[Source.Name]],3)</f>
        <v>K25</v>
      </c>
      <c r="E15" t="str">
        <f>MID(K25___K9[[#This Row],[Source.Name]],4,LEN(K25___K9[[#This Row],[Source.Name]])-7)</f>
        <v>HTTT</v>
      </c>
      <c r="F15">
        <v>2025</v>
      </c>
      <c r="G15">
        <v>1</v>
      </c>
      <c r="H15" t="s">
        <v>639</v>
      </c>
      <c r="I15" t="s">
        <v>640</v>
      </c>
      <c r="J15">
        <v>3</v>
      </c>
      <c r="K15">
        <v>45</v>
      </c>
      <c r="L15">
        <v>45</v>
      </c>
      <c r="U15" t="s">
        <v>641</v>
      </c>
      <c r="X15" t="s">
        <v>5</v>
      </c>
    </row>
    <row r="16" spans="1:25" x14ac:dyDescent="0.25">
      <c r="A16" t="s">
        <v>653</v>
      </c>
      <c r="D16" t="str">
        <f>LEFT(K25___K9[[#This Row],[Source.Name]],3)</f>
        <v>K25</v>
      </c>
      <c r="E16" t="str">
        <f>MID(K25___K9[[#This Row],[Source.Name]],4,LEN(K25___K9[[#This Row],[Source.Name]])-7)</f>
        <v>HTTT</v>
      </c>
      <c r="F16">
        <v>2025</v>
      </c>
      <c r="G16">
        <v>1</v>
      </c>
      <c r="H16" t="s">
        <v>654</v>
      </c>
      <c r="I16" t="s">
        <v>655</v>
      </c>
      <c r="J16">
        <v>3</v>
      </c>
      <c r="K16">
        <v>45</v>
      </c>
      <c r="L16">
        <v>45</v>
      </c>
      <c r="U16" t="s">
        <v>646</v>
      </c>
      <c r="X16" t="s">
        <v>5</v>
      </c>
    </row>
    <row r="17" spans="1:24" x14ac:dyDescent="0.25">
      <c r="A17" t="s">
        <v>653</v>
      </c>
      <c r="D17" t="str">
        <f>LEFT(K25___K9[[#This Row],[Source.Name]],3)</f>
        <v>K25</v>
      </c>
      <c r="E17" t="str">
        <f>MID(K25___K9[[#This Row],[Source.Name]],4,LEN(K25___K9[[#This Row],[Source.Name]])-7)</f>
        <v>HTTT</v>
      </c>
      <c r="F17">
        <v>2025</v>
      </c>
      <c r="G17">
        <v>1</v>
      </c>
      <c r="H17" t="s">
        <v>637</v>
      </c>
      <c r="I17" t="s">
        <v>638</v>
      </c>
      <c r="J17">
        <v>3</v>
      </c>
      <c r="K17">
        <v>45</v>
      </c>
      <c r="L17">
        <v>45</v>
      </c>
      <c r="U17" t="s">
        <v>636</v>
      </c>
      <c r="X17" t="s">
        <v>5</v>
      </c>
    </row>
    <row r="18" spans="1:24" x14ac:dyDescent="0.25">
      <c r="A18" t="s">
        <v>653</v>
      </c>
      <c r="D18" t="str">
        <f>LEFT(K25___K9[[#This Row],[Source.Name]],3)</f>
        <v>K25</v>
      </c>
      <c r="E18" t="str">
        <f>MID(K25___K9[[#This Row],[Source.Name]],4,LEN(K25___K9[[#This Row],[Source.Name]])-7)</f>
        <v>HTTT</v>
      </c>
      <c r="F18">
        <v>2025</v>
      </c>
      <c r="G18">
        <v>1</v>
      </c>
      <c r="H18" t="s">
        <v>644</v>
      </c>
      <c r="I18" t="s">
        <v>645</v>
      </c>
      <c r="J18">
        <v>3</v>
      </c>
      <c r="K18">
        <v>45</v>
      </c>
      <c r="L18">
        <v>45</v>
      </c>
      <c r="U18" t="s">
        <v>646</v>
      </c>
      <c r="X18" t="s">
        <v>5</v>
      </c>
    </row>
    <row r="19" spans="1:24" x14ac:dyDescent="0.25">
      <c r="A19" t="s">
        <v>653</v>
      </c>
      <c r="D19" t="str">
        <f>LEFT(K25___K9[[#This Row],[Source.Name]],3)</f>
        <v>K25</v>
      </c>
      <c r="E19" t="str">
        <f>MID(K25___K9[[#This Row],[Source.Name]],4,LEN(K25___K9[[#This Row],[Source.Name]])-7)</f>
        <v>HTTT</v>
      </c>
      <c r="F19">
        <v>2025</v>
      </c>
      <c r="G19">
        <v>1</v>
      </c>
      <c r="H19" t="s">
        <v>656</v>
      </c>
      <c r="I19" t="s">
        <v>657</v>
      </c>
      <c r="J19">
        <v>3</v>
      </c>
      <c r="K19">
        <v>45</v>
      </c>
      <c r="L19">
        <v>45</v>
      </c>
      <c r="S19" t="s">
        <v>658</v>
      </c>
      <c r="U19" t="s">
        <v>646</v>
      </c>
      <c r="X19" t="s">
        <v>5</v>
      </c>
    </row>
    <row r="20" spans="1:24" x14ac:dyDescent="0.25">
      <c r="A20" t="s">
        <v>653</v>
      </c>
      <c r="D20" t="str">
        <f>LEFT(K25___K9[[#This Row],[Source.Name]],3)</f>
        <v>K25</v>
      </c>
      <c r="E20" t="str">
        <f>MID(K25___K9[[#This Row],[Source.Name]],4,LEN(K25___K9[[#This Row],[Source.Name]])-7)</f>
        <v>HTTT</v>
      </c>
      <c r="F20">
        <v>2025</v>
      </c>
      <c r="G20">
        <v>1</v>
      </c>
      <c r="H20" t="s">
        <v>649</v>
      </c>
      <c r="I20" t="s">
        <v>650</v>
      </c>
      <c r="J20">
        <v>3</v>
      </c>
      <c r="K20">
        <v>45</v>
      </c>
      <c r="L20">
        <v>45</v>
      </c>
      <c r="S20" t="s">
        <v>658</v>
      </c>
      <c r="U20" t="s">
        <v>641</v>
      </c>
      <c r="X20" t="s">
        <v>5</v>
      </c>
    </row>
    <row r="21" spans="1:24" x14ac:dyDescent="0.25">
      <c r="A21" t="s">
        <v>653</v>
      </c>
      <c r="D21" t="str">
        <f>LEFT(K25___K9[[#This Row],[Source.Name]],3)</f>
        <v>K25</v>
      </c>
      <c r="E21" t="str">
        <f>MID(K25___K9[[#This Row],[Source.Name]],4,LEN(K25___K9[[#This Row],[Source.Name]])-7)</f>
        <v>HTTT</v>
      </c>
      <c r="F21">
        <v>2025</v>
      </c>
      <c r="G21">
        <v>1</v>
      </c>
      <c r="H21" t="s">
        <v>651</v>
      </c>
      <c r="I21" t="s">
        <v>652</v>
      </c>
      <c r="J21">
        <v>3</v>
      </c>
      <c r="K21">
        <v>45</v>
      </c>
      <c r="L21">
        <v>45</v>
      </c>
      <c r="S21" t="s">
        <v>659</v>
      </c>
      <c r="U21" t="s">
        <v>641</v>
      </c>
      <c r="X21" t="s">
        <v>5</v>
      </c>
    </row>
    <row r="22" spans="1:24" x14ac:dyDescent="0.25">
      <c r="A22" t="s">
        <v>653</v>
      </c>
      <c r="D22" t="str">
        <f>LEFT(K25___K9[[#This Row],[Source.Name]],3)</f>
        <v>K25</v>
      </c>
      <c r="E22" t="str">
        <f>MID(K25___K9[[#This Row],[Source.Name]],4,LEN(K25___K9[[#This Row],[Source.Name]])-7)</f>
        <v>HTTT</v>
      </c>
      <c r="F22">
        <v>2025</v>
      </c>
      <c r="G22">
        <v>1</v>
      </c>
      <c r="H22" t="s">
        <v>660</v>
      </c>
      <c r="I22" t="s">
        <v>661</v>
      </c>
      <c r="J22">
        <v>3</v>
      </c>
      <c r="K22">
        <v>45</v>
      </c>
      <c r="L22">
        <v>45</v>
      </c>
      <c r="S22" t="s">
        <v>659</v>
      </c>
      <c r="U22" t="s">
        <v>641</v>
      </c>
      <c r="X22" t="s">
        <v>5</v>
      </c>
    </row>
    <row r="23" spans="1:24" x14ac:dyDescent="0.25">
      <c r="A23" t="s">
        <v>662</v>
      </c>
      <c r="D23" t="str">
        <f>LEFT(K25___K9[[#This Row],[Source.Name]],3)</f>
        <v>K25</v>
      </c>
      <c r="E23" t="str">
        <f>MID(K25___K9[[#This Row],[Source.Name]],4,LEN(K25___K9[[#This Row],[Source.Name]])-7)</f>
        <v>KDQT</v>
      </c>
      <c r="F23">
        <v>2025</v>
      </c>
      <c r="G23">
        <v>1</v>
      </c>
      <c r="H23" t="s">
        <v>667</v>
      </c>
      <c r="I23" t="s">
        <v>668</v>
      </c>
      <c r="J23">
        <v>3</v>
      </c>
      <c r="K23">
        <v>45</v>
      </c>
      <c r="L23">
        <v>45</v>
      </c>
      <c r="U23" t="s">
        <v>669</v>
      </c>
      <c r="X23" t="s">
        <v>5</v>
      </c>
    </row>
    <row r="24" spans="1:24" x14ac:dyDescent="0.25">
      <c r="A24" t="s">
        <v>662</v>
      </c>
      <c r="D24" t="str">
        <f>LEFT(K25___K9[[#This Row],[Source.Name]],3)</f>
        <v>K25</v>
      </c>
      <c r="E24" t="str">
        <f>MID(K25___K9[[#This Row],[Source.Name]],4,LEN(K25___K9[[#This Row],[Source.Name]])-7)</f>
        <v>KDQT</v>
      </c>
      <c r="F24">
        <v>2025</v>
      </c>
      <c r="G24">
        <v>1</v>
      </c>
      <c r="H24" t="s">
        <v>670</v>
      </c>
      <c r="I24" t="s">
        <v>671</v>
      </c>
      <c r="J24">
        <v>3</v>
      </c>
      <c r="K24">
        <v>45</v>
      </c>
      <c r="L24">
        <v>45</v>
      </c>
      <c r="U24" t="s">
        <v>672</v>
      </c>
      <c r="X24" t="s">
        <v>5</v>
      </c>
    </row>
    <row r="25" spans="1:24" x14ac:dyDescent="0.25">
      <c r="A25" t="s">
        <v>662</v>
      </c>
      <c r="D25" t="str">
        <f>LEFT(K25___K9[[#This Row],[Source.Name]],3)</f>
        <v>K25</v>
      </c>
      <c r="E25" t="str">
        <f>MID(K25___K9[[#This Row],[Source.Name]],4,LEN(K25___K9[[#This Row],[Source.Name]])-7)</f>
        <v>KDQT</v>
      </c>
      <c r="F25">
        <v>2025</v>
      </c>
      <c r="G25">
        <v>1</v>
      </c>
      <c r="H25" t="s">
        <v>673</v>
      </c>
      <c r="I25" t="s">
        <v>674</v>
      </c>
      <c r="J25">
        <v>2</v>
      </c>
      <c r="K25">
        <v>30</v>
      </c>
      <c r="L25">
        <v>30</v>
      </c>
      <c r="U25" t="s">
        <v>672</v>
      </c>
      <c r="X25" t="s">
        <v>5</v>
      </c>
    </row>
    <row r="26" spans="1:24" x14ac:dyDescent="0.25">
      <c r="A26" t="s">
        <v>662</v>
      </c>
      <c r="D26" t="str">
        <f>LEFT(K25___K9[[#This Row],[Source.Name]],3)</f>
        <v>K25</v>
      </c>
      <c r="E26" t="str">
        <f>MID(K25___K9[[#This Row],[Source.Name]],4,LEN(K25___K9[[#This Row],[Source.Name]])-7)</f>
        <v>KDQT</v>
      </c>
      <c r="F26">
        <v>2025</v>
      </c>
      <c r="G26">
        <v>1</v>
      </c>
      <c r="H26" t="s">
        <v>675</v>
      </c>
      <c r="I26" t="s">
        <v>676</v>
      </c>
      <c r="J26">
        <v>3</v>
      </c>
      <c r="K26">
        <v>45</v>
      </c>
      <c r="L26">
        <v>45</v>
      </c>
      <c r="U26" t="s">
        <v>677</v>
      </c>
      <c r="X26" t="s">
        <v>5</v>
      </c>
    </row>
    <row r="27" spans="1:24" x14ac:dyDescent="0.25">
      <c r="A27" t="s">
        <v>662</v>
      </c>
      <c r="D27" t="str">
        <f>LEFT(K25___K9[[#This Row],[Source.Name]],3)</f>
        <v>K25</v>
      </c>
      <c r="E27" t="str">
        <f>MID(K25___K9[[#This Row],[Source.Name]],4,LEN(K25___K9[[#This Row],[Source.Name]])-7)</f>
        <v>KDQT</v>
      </c>
      <c r="F27">
        <v>2025</v>
      </c>
      <c r="G27">
        <v>1</v>
      </c>
      <c r="H27" t="s">
        <v>678</v>
      </c>
      <c r="I27" t="s">
        <v>679</v>
      </c>
      <c r="J27">
        <v>3</v>
      </c>
      <c r="K27">
        <v>45</v>
      </c>
      <c r="L27">
        <v>45</v>
      </c>
      <c r="R27" t="s">
        <v>628</v>
      </c>
      <c r="U27" t="s">
        <v>672</v>
      </c>
      <c r="X27" t="s">
        <v>5</v>
      </c>
    </row>
    <row r="28" spans="1:24" x14ac:dyDescent="0.25">
      <c r="A28" t="s">
        <v>662</v>
      </c>
      <c r="D28" t="str">
        <f>LEFT(K25___K9[[#This Row],[Source.Name]],3)</f>
        <v>K25</v>
      </c>
      <c r="E28" t="str">
        <f>MID(K25___K9[[#This Row],[Source.Name]],4,LEN(K25___K9[[#This Row],[Source.Name]])-7)</f>
        <v>KDQT</v>
      </c>
      <c r="F28">
        <v>2025</v>
      </c>
      <c r="G28">
        <v>1</v>
      </c>
      <c r="H28" t="s">
        <v>680</v>
      </c>
      <c r="I28" t="s">
        <v>681</v>
      </c>
      <c r="J28">
        <v>3</v>
      </c>
      <c r="K28">
        <v>45</v>
      </c>
      <c r="L28">
        <v>45</v>
      </c>
      <c r="R28" t="s">
        <v>628</v>
      </c>
      <c r="U28" t="s">
        <v>664</v>
      </c>
      <c r="X28" t="s">
        <v>5</v>
      </c>
    </row>
    <row r="29" spans="1:24" x14ac:dyDescent="0.25">
      <c r="A29" t="s">
        <v>662</v>
      </c>
      <c r="D29" t="str">
        <f>LEFT(K25___K9[[#This Row],[Source.Name]],3)</f>
        <v>K25</v>
      </c>
      <c r="E29" t="str">
        <f>MID(K25___K9[[#This Row],[Source.Name]],4,LEN(K25___K9[[#This Row],[Source.Name]])-7)</f>
        <v>KDQT</v>
      </c>
      <c r="F29">
        <v>2025</v>
      </c>
      <c r="G29">
        <v>1</v>
      </c>
      <c r="H29" t="s">
        <v>682</v>
      </c>
      <c r="I29" t="s">
        <v>683</v>
      </c>
      <c r="J29">
        <v>3</v>
      </c>
      <c r="K29">
        <v>45</v>
      </c>
      <c r="L29">
        <v>45</v>
      </c>
      <c r="R29" t="s">
        <v>628</v>
      </c>
      <c r="U29" t="s">
        <v>684</v>
      </c>
      <c r="X29" t="s">
        <v>5</v>
      </c>
    </row>
    <row r="30" spans="1:24" x14ac:dyDescent="0.25">
      <c r="A30" t="s">
        <v>662</v>
      </c>
      <c r="D30" t="str">
        <f>LEFT(K25___K9[[#This Row],[Source.Name]],3)</f>
        <v>K25</v>
      </c>
      <c r="E30" t="str">
        <f>MID(K25___K9[[#This Row],[Source.Name]],4,LEN(K25___K9[[#This Row],[Source.Name]])-7)</f>
        <v>KDQT</v>
      </c>
      <c r="F30">
        <v>2025</v>
      </c>
      <c r="G30">
        <v>1</v>
      </c>
      <c r="H30" t="s">
        <v>685</v>
      </c>
      <c r="I30" t="s">
        <v>686</v>
      </c>
      <c r="J30">
        <v>3</v>
      </c>
      <c r="K30">
        <v>45</v>
      </c>
      <c r="L30">
        <v>45</v>
      </c>
      <c r="R30" t="s">
        <v>628</v>
      </c>
      <c r="U30" t="s">
        <v>687</v>
      </c>
      <c r="X30" t="s">
        <v>5</v>
      </c>
    </row>
    <row r="31" spans="1:24" x14ac:dyDescent="0.25">
      <c r="A31" t="s">
        <v>688</v>
      </c>
      <c r="D31" t="str">
        <f>LEFT(K25___K9[[#This Row],[Source.Name]],3)</f>
        <v>K25</v>
      </c>
      <c r="E31" t="str">
        <f>MID(K25___K9[[#This Row],[Source.Name]],4,LEN(K25___K9[[#This Row],[Source.Name]])-7)</f>
        <v>KT</v>
      </c>
      <c r="F31">
        <v>2025</v>
      </c>
      <c r="G31">
        <v>1</v>
      </c>
      <c r="H31" t="s">
        <v>692</v>
      </c>
      <c r="I31" t="s">
        <v>693</v>
      </c>
      <c r="J31">
        <v>3</v>
      </c>
      <c r="K31">
        <v>45</v>
      </c>
      <c r="L31">
        <v>45</v>
      </c>
      <c r="U31" t="s">
        <v>689</v>
      </c>
      <c r="X31" t="s">
        <v>5</v>
      </c>
    </row>
    <row r="32" spans="1:24" x14ac:dyDescent="0.25">
      <c r="A32" t="s">
        <v>688</v>
      </c>
      <c r="D32" t="str">
        <f>LEFT(K25___K9[[#This Row],[Source.Name]],3)</f>
        <v>K25</v>
      </c>
      <c r="E32" t="str">
        <f>MID(K25___K9[[#This Row],[Source.Name]],4,LEN(K25___K9[[#This Row],[Source.Name]])-7)</f>
        <v>KT</v>
      </c>
      <c r="F32">
        <v>2025</v>
      </c>
      <c r="G32">
        <v>1</v>
      </c>
      <c r="H32" t="s">
        <v>694</v>
      </c>
      <c r="I32" t="s">
        <v>695</v>
      </c>
      <c r="J32">
        <v>3</v>
      </c>
      <c r="K32">
        <v>45</v>
      </c>
      <c r="L32">
        <v>45</v>
      </c>
      <c r="U32" t="s">
        <v>691</v>
      </c>
      <c r="X32" t="s">
        <v>5</v>
      </c>
    </row>
    <row r="33" spans="1:24" x14ac:dyDescent="0.25">
      <c r="A33" t="s">
        <v>688</v>
      </c>
      <c r="D33" t="str">
        <f>LEFT(K25___K9[[#This Row],[Source.Name]],3)</f>
        <v>K25</v>
      </c>
      <c r="E33" t="str">
        <f>MID(K25___K9[[#This Row],[Source.Name]],4,LEN(K25___K9[[#This Row],[Source.Name]])-7)</f>
        <v>KT</v>
      </c>
      <c r="F33">
        <v>2025</v>
      </c>
      <c r="G33">
        <v>1</v>
      </c>
      <c r="H33" t="s">
        <v>696</v>
      </c>
      <c r="I33" t="s">
        <v>697</v>
      </c>
      <c r="J33">
        <v>3</v>
      </c>
      <c r="K33">
        <v>45</v>
      </c>
      <c r="L33">
        <v>45</v>
      </c>
      <c r="S33" t="s">
        <v>698</v>
      </c>
      <c r="U33" t="s">
        <v>691</v>
      </c>
      <c r="X33" t="s">
        <v>5</v>
      </c>
    </row>
    <row r="34" spans="1:24" x14ac:dyDescent="0.25">
      <c r="A34" t="s">
        <v>688</v>
      </c>
      <c r="D34" t="str">
        <f>LEFT(K25___K9[[#This Row],[Source.Name]],3)</f>
        <v>K25</v>
      </c>
      <c r="E34" t="str">
        <f>MID(K25___K9[[#This Row],[Source.Name]],4,LEN(K25___K9[[#This Row],[Source.Name]])-7)</f>
        <v>KT</v>
      </c>
      <c r="F34">
        <v>2025</v>
      </c>
      <c r="G34">
        <v>1</v>
      </c>
      <c r="H34" t="s">
        <v>699</v>
      </c>
      <c r="I34" t="s">
        <v>145</v>
      </c>
      <c r="J34">
        <v>3</v>
      </c>
      <c r="K34">
        <v>45</v>
      </c>
      <c r="L34">
        <v>45</v>
      </c>
      <c r="S34" t="s">
        <v>698</v>
      </c>
      <c r="U34" t="s">
        <v>691</v>
      </c>
      <c r="X34" t="s">
        <v>5</v>
      </c>
    </row>
    <row r="35" spans="1:24" x14ac:dyDescent="0.25">
      <c r="A35" t="s">
        <v>688</v>
      </c>
      <c r="D35" t="str">
        <f>LEFT(K25___K9[[#This Row],[Source.Name]],3)</f>
        <v>K25</v>
      </c>
      <c r="E35" t="str">
        <f>MID(K25___K9[[#This Row],[Source.Name]],4,LEN(K25___K9[[#This Row],[Source.Name]])-7)</f>
        <v>KT</v>
      </c>
      <c r="F35">
        <v>2025</v>
      </c>
      <c r="G35">
        <v>1</v>
      </c>
      <c r="H35" t="s">
        <v>700</v>
      </c>
      <c r="I35" t="s">
        <v>701</v>
      </c>
      <c r="J35">
        <v>3</v>
      </c>
      <c r="K35">
        <v>45</v>
      </c>
      <c r="L35">
        <v>45</v>
      </c>
      <c r="S35" t="s">
        <v>702</v>
      </c>
      <c r="U35" t="s">
        <v>703</v>
      </c>
      <c r="X35" t="s">
        <v>5</v>
      </c>
    </row>
    <row r="36" spans="1:24" x14ac:dyDescent="0.25">
      <c r="A36" t="s">
        <v>688</v>
      </c>
      <c r="D36" t="str">
        <f>LEFT(K25___K9[[#This Row],[Source.Name]],3)</f>
        <v>K25</v>
      </c>
      <c r="E36" t="str">
        <f>MID(K25___K9[[#This Row],[Source.Name]],4,LEN(K25___K9[[#This Row],[Source.Name]])-7)</f>
        <v>KT</v>
      </c>
      <c r="F36">
        <v>2025</v>
      </c>
      <c r="G36">
        <v>1</v>
      </c>
      <c r="H36" t="s">
        <v>704</v>
      </c>
      <c r="I36" t="s">
        <v>705</v>
      </c>
      <c r="J36">
        <v>3</v>
      </c>
      <c r="K36">
        <v>45</v>
      </c>
      <c r="L36">
        <v>45</v>
      </c>
      <c r="S36" t="s">
        <v>702</v>
      </c>
      <c r="U36" t="s">
        <v>665</v>
      </c>
      <c r="X36" t="s">
        <v>5</v>
      </c>
    </row>
    <row r="37" spans="1:24" x14ac:dyDescent="0.25">
      <c r="A37" t="s">
        <v>688</v>
      </c>
      <c r="D37" t="str">
        <f>LEFT(K25___K9[[#This Row],[Source.Name]],3)</f>
        <v>K25</v>
      </c>
      <c r="E37" t="str">
        <f>MID(K25___K9[[#This Row],[Source.Name]],4,LEN(K25___K9[[#This Row],[Source.Name]])-7)</f>
        <v>KT</v>
      </c>
      <c r="F37">
        <v>2025</v>
      </c>
      <c r="G37">
        <v>1</v>
      </c>
      <c r="H37" t="s">
        <v>706</v>
      </c>
      <c r="I37" t="s">
        <v>707</v>
      </c>
      <c r="J37">
        <v>3</v>
      </c>
      <c r="K37">
        <v>45</v>
      </c>
      <c r="L37">
        <v>45</v>
      </c>
      <c r="S37" t="s">
        <v>702</v>
      </c>
      <c r="U37" t="s">
        <v>690</v>
      </c>
      <c r="X37" t="s">
        <v>5</v>
      </c>
    </row>
    <row r="38" spans="1:24" x14ac:dyDescent="0.25">
      <c r="A38" t="s">
        <v>688</v>
      </c>
      <c r="D38" t="str">
        <f>LEFT(K25___K9[[#This Row],[Source.Name]],3)</f>
        <v>K25</v>
      </c>
      <c r="E38" t="str">
        <f>MID(K25___K9[[#This Row],[Source.Name]],4,LEN(K25___K9[[#This Row],[Source.Name]])-7)</f>
        <v>KT</v>
      </c>
      <c r="F38">
        <v>2025</v>
      </c>
      <c r="G38">
        <v>1</v>
      </c>
      <c r="H38" t="s">
        <v>708</v>
      </c>
      <c r="I38" t="s">
        <v>709</v>
      </c>
      <c r="J38">
        <v>3</v>
      </c>
      <c r="K38">
        <v>45</v>
      </c>
      <c r="L38">
        <v>45</v>
      </c>
      <c r="S38" t="s">
        <v>698</v>
      </c>
      <c r="U38" t="s">
        <v>691</v>
      </c>
      <c r="X38" t="s">
        <v>5</v>
      </c>
    </row>
    <row r="39" spans="1:24" x14ac:dyDescent="0.25">
      <c r="A39" t="s">
        <v>710</v>
      </c>
      <c r="D39" t="str">
        <f>LEFT(K25___K9[[#This Row],[Source.Name]],3)</f>
        <v>K25</v>
      </c>
      <c r="E39" t="str">
        <f>MID(K25___K9[[#This Row],[Source.Name]],4,LEN(K25___K9[[#This Row],[Source.Name]])-7)</f>
        <v>KTDT</v>
      </c>
      <c r="F39">
        <v>2025</v>
      </c>
      <c r="G39">
        <v>1</v>
      </c>
      <c r="H39" t="s">
        <v>711</v>
      </c>
      <c r="I39" t="s">
        <v>712</v>
      </c>
      <c r="J39">
        <v>3</v>
      </c>
      <c r="K39">
        <v>45</v>
      </c>
      <c r="L39">
        <v>45</v>
      </c>
      <c r="U39" t="s">
        <v>713</v>
      </c>
      <c r="X39" t="s">
        <v>5</v>
      </c>
    </row>
    <row r="40" spans="1:24" x14ac:dyDescent="0.25">
      <c r="A40" t="s">
        <v>710</v>
      </c>
      <c r="D40" t="str">
        <f>LEFT(K25___K9[[#This Row],[Source.Name]],3)</f>
        <v>K25</v>
      </c>
      <c r="E40" t="str">
        <f>MID(K25___K9[[#This Row],[Source.Name]],4,LEN(K25___K9[[#This Row],[Source.Name]])-7)</f>
        <v>KTDT</v>
      </c>
      <c r="F40">
        <v>2025</v>
      </c>
      <c r="G40">
        <v>1</v>
      </c>
      <c r="H40" t="s">
        <v>714</v>
      </c>
      <c r="I40" t="s">
        <v>715</v>
      </c>
      <c r="J40">
        <v>3</v>
      </c>
      <c r="K40">
        <v>45</v>
      </c>
      <c r="L40">
        <v>45</v>
      </c>
      <c r="U40" t="s">
        <v>713</v>
      </c>
      <c r="X40" t="s">
        <v>5</v>
      </c>
    </row>
    <row r="41" spans="1:24" x14ac:dyDescent="0.25">
      <c r="A41" t="s">
        <v>710</v>
      </c>
      <c r="D41" t="str">
        <f>LEFT(K25___K9[[#This Row],[Source.Name]],3)</f>
        <v>K25</v>
      </c>
      <c r="E41" t="str">
        <f>MID(K25___K9[[#This Row],[Source.Name]],4,LEN(K25___K9[[#This Row],[Source.Name]])-7)</f>
        <v>KTDT</v>
      </c>
      <c r="F41">
        <v>2025</v>
      </c>
      <c r="G41">
        <v>1</v>
      </c>
      <c r="H41" t="s">
        <v>126</v>
      </c>
      <c r="I41" t="s">
        <v>127</v>
      </c>
      <c r="J41">
        <v>3</v>
      </c>
      <c r="K41">
        <v>45</v>
      </c>
      <c r="L41">
        <v>45</v>
      </c>
      <c r="U41" t="s">
        <v>663</v>
      </c>
      <c r="X41" t="s">
        <v>5</v>
      </c>
    </row>
    <row r="42" spans="1:24" x14ac:dyDescent="0.25">
      <c r="A42" t="s">
        <v>710</v>
      </c>
      <c r="D42" t="str">
        <f>LEFT(K25___K9[[#This Row],[Source.Name]],3)</f>
        <v>K25</v>
      </c>
      <c r="E42" t="str">
        <f>MID(K25___K9[[#This Row],[Source.Name]],4,LEN(K25___K9[[#This Row],[Source.Name]])-7)</f>
        <v>KTDT</v>
      </c>
      <c r="F42">
        <v>2025</v>
      </c>
      <c r="G42">
        <v>1</v>
      </c>
      <c r="H42" t="s">
        <v>716</v>
      </c>
      <c r="I42" t="s">
        <v>245</v>
      </c>
      <c r="J42">
        <v>3</v>
      </c>
      <c r="K42">
        <v>45</v>
      </c>
      <c r="L42">
        <v>45</v>
      </c>
      <c r="U42" t="s">
        <v>634</v>
      </c>
      <c r="X42" t="s">
        <v>5</v>
      </c>
    </row>
    <row r="43" spans="1:24" x14ac:dyDescent="0.25">
      <c r="A43" t="s">
        <v>710</v>
      </c>
      <c r="D43" t="str">
        <f>LEFT(K25___K9[[#This Row],[Source.Name]],3)</f>
        <v>K25</v>
      </c>
      <c r="E43" t="str">
        <f>MID(K25___K9[[#This Row],[Source.Name]],4,LEN(K25___K9[[#This Row],[Source.Name]])-7)</f>
        <v>KTDT</v>
      </c>
      <c r="F43">
        <v>2025</v>
      </c>
      <c r="G43">
        <v>1</v>
      </c>
      <c r="H43" t="s">
        <v>717</v>
      </c>
      <c r="I43" t="s">
        <v>718</v>
      </c>
      <c r="J43">
        <v>1</v>
      </c>
      <c r="K43">
        <v>15</v>
      </c>
      <c r="L43">
        <v>15</v>
      </c>
      <c r="U43" t="s">
        <v>713</v>
      </c>
      <c r="X43" t="s">
        <v>5</v>
      </c>
    </row>
    <row r="44" spans="1:24" x14ac:dyDescent="0.25">
      <c r="A44" t="s">
        <v>710</v>
      </c>
      <c r="D44" t="str">
        <f>LEFT(K25___K9[[#This Row],[Source.Name]],3)</f>
        <v>K25</v>
      </c>
      <c r="E44" t="str">
        <f>MID(K25___K9[[#This Row],[Source.Name]],4,LEN(K25___K9[[#This Row],[Source.Name]])-7)</f>
        <v>KTDT</v>
      </c>
      <c r="F44">
        <v>2025</v>
      </c>
      <c r="G44">
        <v>1</v>
      </c>
      <c r="H44" t="s">
        <v>103</v>
      </c>
      <c r="I44" t="s">
        <v>104</v>
      </c>
      <c r="J44">
        <v>3</v>
      </c>
      <c r="K44">
        <v>45</v>
      </c>
      <c r="L44">
        <v>45</v>
      </c>
      <c r="R44" t="s">
        <v>93</v>
      </c>
      <c r="X44" t="s">
        <v>5</v>
      </c>
    </row>
    <row r="45" spans="1:24" x14ac:dyDescent="0.25">
      <c r="A45" t="s">
        <v>710</v>
      </c>
      <c r="D45" t="str">
        <f>LEFT(K25___K9[[#This Row],[Source.Name]],3)</f>
        <v>K25</v>
      </c>
      <c r="E45" t="str">
        <f>MID(K25___K9[[#This Row],[Source.Name]],4,LEN(K25___K9[[#This Row],[Source.Name]])-7)</f>
        <v>KTDT</v>
      </c>
      <c r="F45">
        <v>2025</v>
      </c>
      <c r="G45">
        <v>1</v>
      </c>
      <c r="H45" t="s">
        <v>719</v>
      </c>
      <c r="I45" t="s">
        <v>720</v>
      </c>
      <c r="J45">
        <v>3</v>
      </c>
      <c r="K45">
        <v>45</v>
      </c>
      <c r="L45">
        <v>45</v>
      </c>
      <c r="R45" t="s">
        <v>93</v>
      </c>
      <c r="U45" t="s">
        <v>721</v>
      </c>
      <c r="X45" t="s">
        <v>5</v>
      </c>
    </row>
    <row r="46" spans="1:24" x14ac:dyDescent="0.25">
      <c r="A46" t="s">
        <v>722</v>
      </c>
      <c r="D46" t="str">
        <f>LEFT(K25___K9[[#This Row],[Source.Name]],3)</f>
        <v>K25</v>
      </c>
      <c r="E46" t="str">
        <f>MID(K25___K9[[#This Row],[Source.Name]],4,LEN(K25___K9[[#This Row],[Source.Name]])-7)</f>
        <v>LKT</v>
      </c>
      <c r="F46">
        <v>2025</v>
      </c>
      <c r="G46">
        <v>1</v>
      </c>
      <c r="H46" t="s">
        <v>729</v>
      </c>
      <c r="I46" t="s">
        <v>180</v>
      </c>
      <c r="J46">
        <v>3</v>
      </c>
      <c r="K46">
        <v>45</v>
      </c>
      <c r="L46">
        <v>45</v>
      </c>
      <c r="U46" t="s">
        <v>726</v>
      </c>
      <c r="X46" t="s">
        <v>5</v>
      </c>
    </row>
    <row r="47" spans="1:24" x14ac:dyDescent="0.25">
      <c r="A47" t="s">
        <v>722</v>
      </c>
      <c r="D47" t="str">
        <f>LEFT(K25___K9[[#This Row],[Source.Name]],3)</f>
        <v>K25</v>
      </c>
      <c r="E47" t="str">
        <f>MID(K25___K9[[#This Row],[Source.Name]],4,LEN(K25___K9[[#This Row],[Source.Name]])-7)</f>
        <v>LKT</v>
      </c>
      <c r="F47">
        <v>2025</v>
      </c>
      <c r="G47">
        <v>1</v>
      </c>
      <c r="H47" t="s">
        <v>730</v>
      </c>
      <c r="I47" t="s">
        <v>731</v>
      </c>
      <c r="J47">
        <v>3</v>
      </c>
      <c r="K47">
        <v>45</v>
      </c>
      <c r="L47">
        <v>45</v>
      </c>
      <c r="U47" t="s">
        <v>726</v>
      </c>
      <c r="X47" t="s">
        <v>5</v>
      </c>
    </row>
    <row r="48" spans="1:24" x14ac:dyDescent="0.25">
      <c r="A48" t="s">
        <v>722</v>
      </c>
      <c r="D48" t="str">
        <f>LEFT(K25___K9[[#This Row],[Source.Name]],3)</f>
        <v>K25</v>
      </c>
      <c r="E48" t="str">
        <f>MID(K25___K9[[#This Row],[Source.Name]],4,LEN(K25___K9[[#This Row],[Source.Name]])-7)</f>
        <v>LKT</v>
      </c>
      <c r="F48">
        <v>2025</v>
      </c>
      <c r="G48">
        <v>1</v>
      </c>
      <c r="H48" t="s">
        <v>183</v>
      </c>
      <c r="I48" t="s">
        <v>184</v>
      </c>
      <c r="J48">
        <v>3</v>
      </c>
      <c r="K48">
        <v>45</v>
      </c>
      <c r="L48">
        <v>45</v>
      </c>
      <c r="U48" t="s">
        <v>732</v>
      </c>
      <c r="X48" t="s">
        <v>5</v>
      </c>
    </row>
    <row r="49" spans="1:24" x14ac:dyDescent="0.25">
      <c r="A49" t="s">
        <v>722</v>
      </c>
      <c r="D49" t="str">
        <f>LEFT(K25___K9[[#This Row],[Source.Name]],3)</f>
        <v>K25</v>
      </c>
      <c r="E49" t="str">
        <f>MID(K25___K9[[#This Row],[Source.Name]],4,LEN(K25___K9[[#This Row],[Source.Name]])-7)</f>
        <v>LKT</v>
      </c>
      <c r="F49">
        <v>2025</v>
      </c>
      <c r="G49">
        <v>1</v>
      </c>
      <c r="H49" t="s">
        <v>733</v>
      </c>
      <c r="I49" t="s">
        <v>177</v>
      </c>
      <c r="J49">
        <v>3</v>
      </c>
      <c r="K49">
        <v>45</v>
      </c>
      <c r="L49">
        <v>45</v>
      </c>
      <c r="U49" t="s">
        <v>723</v>
      </c>
      <c r="X49" t="s">
        <v>5</v>
      </c>
    </row>
    <row r="50" spans="1:24" x14ac:dyDescent="0.25">
      <c r="A50" t="s">
        <v>722</v>
      </c>
      <c r="D50" t="str">
        <f>LEFT(K25___K9[[#This Row],[Source.Name]],3)</f>
        <v>K25</v>
      </c>
      <c r="E50" t="str">
        <f>MID(K25___K9[[#This Row],[Source.Name]],4,LEN(K25___K9[[#This Row],[Source.Name]])-7)</f>
        <v>LKT</v>
      </c>
      <c r="F50">
        <v>2025</v>
      </c>
      <c r="G50">
        <v>1</v>
      </c>
      <c r="H50" t="s">
        <v>734</v>
      </c>
      <c r="I50" t="s">
        <v>735</v>
      </c>
      <c r="J50">
        <v>1</v>
      </c>
      <c r="K50">
        <v>15</v>
      </c>
      <c r="L50">
        <v>15</v>
      </c>
      <c r="U50" t="s">
        <v>725</v>
      </c>
      <c r="X50" t="s">
        <v>5</v>
      </c>
    </row>
    <row r="51" spans="1:24" x14ac:dyDescent="0.25">
      <c r="A51" t="s">
        <v>722</v>
      </c>
      <c r="D51" t="str">
        <f>LEFT(K25___K9[[#This Row],[Source.Name]],3)</f>
        <v>K25</v>
      </c>
      <c r="E51" t="str">
        <f>MID(K25___K9[[#This Row],[Source.Name]],4,LEN(K25___K9[[#This Row],[Source.Name]])-7)</f>
        <v>LKT</v>
      </c>
      <c r="F51">
        <v>2025</v>
      </c>
      <c r="G51">
        <v>1</v>
      </c>
      <c r="H51" t="s">
        <v>736</v>
      </c>
      <c r="I51" t="s">
        <v>737</v>
      </c>
      <c r="J51">
        <v>2</v>
      </c>
      <c r="K51">
        <v>30</v>
      </c>
      <c r="L51">
        <v>30</v>
      </c>
      <c r="R51" t="s">
        <v>738</v>
      </c>
      <c r="U51" t="s">
        <v>726</v>
      </c>
      <c r="X51" t="s">
        <v>5</v>
      </c>
    </row>
    <row r="52" spans="1:24" x14ac:dyDescent="0.25">
      <c r="A52" t="s">
        <v>722</v>
      </c>
      <c r="D52" t="str">
        <f>LEFT(K25___K9[[#This Row],[Source.Name]],3)</f>
        <v>K25</v>
      </c>
      <c r="E52" t="str">
        <f>MID(K25___K9[[#This Row],[Source.Name]],4,LEN(K25___K9[[#This Row],[Source.Name]])-7)</f>
        <v>LKT</v>
      </c>
      <c r="F52">
        <v>2025</v>
      </c>
      <c r="G52">
        <v>1</v>
      </c>
      <c r="H52" t="s">
        <v>739</v>
      </c>
      <c r="I52" t="s">
        <v>740</v>
      </c>
      <c r="J52">
        <v>2</v>
      </c>
      <c r="K52">
        <v>30</v>
      </c>
      <c r="L52">
        <v>30</v>
      </c>
      <c r="R52" t="s">
        <v>738</v>
      </c>
      <c r="U52" t="s">
        <v>726</v>
      </c>
      <c r="X52" t="s">
        <v>5</v>
      </c>
    </row>
    <row r="53" spans="1:24" x14ac:dyDescent="0.25">
      <c r="A53" t="s">
        <v>722</v>
      </c>
      <c r="D53" t="str">
        <f>LEFT(K25___K9[[#This Row],[Source.Name]],3)</f>
        <v>K25</v>
      </c>
      <c r="E53" t="str">
        <f>MID(K25___K9[[#This Row],[Source.Name]],4,LEN(K25___K9[[#This Row],[Source.Name]])-7)</f>
        <v>LKT</v>
      </c>
      <c r="F53">
        <v>2025</v>
      </c>
      <c r="G53">
        <v>1</v>
      </c>
      <c r="H53" t="s">
        <v>741</v>
      </c>
      <c r="I53" t="s">
        <v>742</v>
      </c>
      <c r="J53">
        <v>2</v>
      </c>
      <c r="K53">
        <v>30</v>
      </c>
      <c r="L53">
        <v>30</v>
      </c>
      <c r="R53" t="s">
        <v>14</v>
      </c>
      <c r="U53" t="s">
        <v>743</v>
      </c>
    </row>
    <row r="54" spans="1:24" x14ac:dyDescent="0.25">
      <c r="A54" t="s">
        <v>722</v>
      </c>
      <c r="D54" t="str">
        <f>LEFT(K25___K9[[#This Row],[Source.Name]],3)</f>
        <v>K25</v>
      </c>
      <c r="E54" t="str">
        <f>MID(K25___K9[[#This Row],[Source.Name]],4,LEN(K25___K9[[#This Row],[Source.Name]])-7)</f>
        <v>LKT</v>
      </c>
      <c r="F54">
        <v>2025</v>
      </c>
      <c r="G54">
        <v>1</v>
      </c>
      <c r="H54" t="s">
        <v>744</v>
      </c>
      <c r="I54" t="s">
        <v>745</v>
      </c>
      <c r="J54">
        <v>2</v>
      </c>
      <c r="K54">
        <v>30</v>
      </c>
      <c r="L54">
        <v>30</v>
      </c>
      <c r="R54" t="s">
        <v>14</v>
      </c>
      <c r="U54" t="s">
        <v>743</v>
      </c>
    </row>
    <row r="55" spans="1:24" x14ac:dyDescent="0.25">
      <c r="A55" t="s">
        <v>722</v>
      </c>
      <c r="D55" t="str">
        <f>LEFT(K25___K9[[#This Row],[Source.Name]],3)</f>
        <v>K25</v>
      </c>
      <c r="E55" t="str">
        <f>MID(K25___K9[[#This Row],[Source.Name]],4,LEN(K25___K9[[#This Row],[Source.Name]])-7)</f>
        <v>LKT</v>
      </c>
      <c r="F55">
        <v>2025</v>
      </c>
      <c r="G55">
        <v>1</v>
      </c>
      <c r="H55" t="s">
        <v>746</v>
      </c>
      <c r="I55" t="s">
        <v>747</v>
      </c>
      <c r="J55">
        <v>2</v>
      </c>
      <c r="K55">
        <v>30</v>
      </c>
      <c r="L55">
        <v>30</v>
      </c>
      <c r="R55" t="s">
        <v>14</v>
      </c>
      <c r="U55" t="s">
        <v>743</v>
      </c>
      <c r="X55" t="s">
        <v>5</v>
      </c>
    </row>
    <row r="56" spans="1:24" x14ac:dyDescent="0.25">
      <c r="A56" t="s">
        <v>722</v>
      </c>
      <c r="D56" t="str">
        <f>LEFT(K25___K9[[#This Row],[Source.Name]],3)</f>
        <v>K25</v>
      </c>
      <c r="E56" t="str">
        <f>MID(K25___K9[[#This Row],[Source.Name]],4,LEN(K25___K9[[#This Row],[Source.Name]])-7)</f>
        <v>LKT</v>
      </c>
      <c r="F56">
        <v>2025</v>
      </c>
      <c r="G56">
        <v>1</v>
      </c>
      <c r="H56" t="s">
        <v>748</v>
      </c>
      <c r="I56" t="s">
        <v>749</v>
      </c>
      <c r="J56">
        <v>2</v>
      </c>
      <c r="K56">
        <v>30</v>
      </c>
      <c r="L56">
        <v>30</v>
      </c>
      <c r="R56" t="s">
        <v>738</v>
      </c>
      <c r="U56" t="s">
        <v>743</v>
      </c>
      <c r="X56" t="s">
        <v>5</v>
      </c>
    </row>
    <row r="57" spans="1:24" x14ac:dyDescent="0.25">
      <c r="A57" t="s">
        <v>750</v>
      </c>
      <c r="D57" t="str">
        <f>LEFT(K25___K9[[#This Row],[Source.Name]],3)</f>
        <v>K25</v>
      </c>
      <c r="E57" t="str">
        <f>MID(K25___K9[[#This Row],[Source.Name]],4,LEN(K25___K9[[#This Row],[Source.Name]])-7)</f>
        <v>NH</v>
      </c>
      <c r="F57">
        <v>2025</v>
      </c>
      <c r="G57">
        <v>1</v>
      </c>
      <c r="H57" t="s">
        <v>752</v>
      </c>
      <c r="I57" t="s">
        <v>630</v>
      </c>
      <c r="J57">
        <v>3</v>
      </c>
      <c r="K57">
        <v>45</v>
      </c>
      <c r="L57">
        <v>45</v>
      </c>
      <c r="U57" t="s">
        <v>751</v>
      </c>
      <c r="X57" t="s">
        <v>5</v>
      </c>
    </row>
    <row r="58" spans="1:24" x14ac:dyDescent="0.25">
      <c r="A58" t="s">
        <v>750</v>
      </c>
      <c r="D58" t="str">
        <f>LEFT(K25___K9[[#This Row],[Source.Name]],3)</f>
        <v>K25</v>
      </c>
      <c r="E58" t="str">
        <f>MID(K25___K9[[#This Row],[Source.Name]],4,LEN(K25___K9[[#This Row],[Source.Name]])-7)</f>
        <v>NH</v>
      </c>
      <c r="F58">
        <v>2025</v>
      </c>
      <c r="G58">
        <v>1</v>
      </c>
      <c r="H58" t="s">
        <v>753</v>
      </c>
      <c r="I58" t="s">
        <v>754</v>
      </c>
      <c r="J58">
        <v>3</v>
      </c>
      <c r="K58">
        <v>45</v>
      </c>
      <c r="L58">
        <v>45</v>
      </c>
      <c r="U58" t="s">
        <v>751</v>
      </c>
      <c r="X58" t="s">
        <v>5</v>
      </c>
    </row>
    <row r="59" spans="1:24" x14ac:dyDescent="0.25">
      <c r="A59" t="s">
        <v>750</v>
      </c>
      <c r="D59" t="str">
        <f>LEFT(K25___K9[[#This Row],[Source.Name]],3)</f>
        <v>K25</v>
      </c>
      <c r="E59" t="str">
        <f>MID(K25___K9[[#This Row],[Source.Name]],4,LEN(K25___K9[[#This Row],[Source.Name]])-7)</f>
        <v>NH</v>
      </c>
      <c r="F59">
        <v>2025</v>
      </c>
      <c r="G59">
        <v>1</v>
      </c>
      <c r="H59" t="s">
        <v>755</v>
      </c>
      <c r="I59" t="s">
        <v>756</v>
      </c>
      <c r="J59">
        <v>3</v>
      </c>
      <c r="K59">
        <v>45</v>
      </c>
      <c r="L59">
        <v>45</v>
      </c>
      <c r="U59" t="s">
        <v>757</v>
      </c>
      <c r="X59" t="s">
        <v>5</v>
      </c>
    </row>
    <row r="60" spans="1:24" x14ac:dyDescent="0.25">
      <c r="A60" t="s">
        <v>750</v>
      </c>
      <c r="D60" t="str">
        <f>LEFT(K25___K9[[#This Row],[Source.Name]],3)</f>
        <v>K25</v>
      </c>
      <c r="E60" t="str">
        <f>MID(K25___K9[[#This Row],[Source.Name]],4,LEN(K25___K9[[#This Row],[Source.Name]])-7)</f>
        <v>NH</v>
      </c>
      <c r="F60">
        <v>2025</v>
      </c>
      <c r="G60">
        <v>1</v>
      </c>
      <c r="H60" t="s">
        <v>758</v>
      </c>
      <c r="I60" t="s">
        <v>759</v>
      </c>
      <c r="J60">
        <v>3</v>
      </c>
      <c r="K60">
        <v>45</v>
      </c>
      <c r="L60">
        <v>45</v>
      </c>
      <c r="U60" t="s">
        <v>751</v>
      </c>
      <c r="X60" t="s">
        <v>5</v>
      </c>
    </row>
    <row r="61" spans="1:24" x14ac:dyDescent="0.25">
      <c r="A61" t="s">
        <v>750</v>
      </c>
      <c r="D61" t="str">
        <f>LEFT(K25___K9[[#This Row],[Source.Name]],3)</f>
        <v>K25</v>
      </c>
      <c r="E61" t="str">
        <f>MID(K25___K9[[#This Row],[Source.Name]],4,LEN(K25___K9[[#This Row],[Source.Name]])-7)</f>
        <v>NH</v>
      </c>
      <c r="F61">
        <v>2025</v>
      </c>
      <c r="G61">
        <v>1</v>
      </c>
      <c r="H61" t="s">
        <v>760</v>
      </c>
      <c r="I61" t="s">
        <v>761</v>
      </c>
      <c r="J61">
        <v>3</v>
      </c>
      <c r="K61">
        <v>45</v>
      </c>
      <c r="L61">
        <v>45</v>
      </c>
      <c r="R61" t="s">
        <v>628</v>
      </c>
      <c r="U61" t="s">
        <v>762</v>
      </c>
      <c r="X61" t="s">
        <v>5</v>
      </c>
    </row>
    <row r="62" spans="1:24" x14ac:dyDescent="0.25">
      <c r="A62" t="s">
        <v>750</v>
      </c>
      <c r="D62" t="str">
        <f>LEFT(K25___K9[[#This Row],[Source.Name]],3)</f>
        <v>K25</v>
      </c>
      <c r="E62" t="str">
        <f>MID(K25___K9[[#This Row],[Source.Name]],4,LEN(K25___K9[[#This Row],[Source.Name]])-7)</f>
        <v>NH</v>
      </c>
      <c r="F62">
        <v>2025</v>
      </c>
      <c r="G62">
        <v>1</v>
      </c>
      <c r="H62" t="s">
        <v>763</v>
      </c>
      <c r="I62" t="s">
        <v>764</v>
      </c>
      <c r="J62">
        <v>3</v>
      </c>
      <c r="K62">
        <v>45</v>
      </c>
      <c r="L62">
        <v>45</v>
      </c>
      <c r="R62" t="s">
        <v>628</v>
      </c>
      <c r="U62" t="s">
        <v>757</v>
      </c>
      <c r="X62" t="s">
        <v>5</v>
      </c>
    </row>
    <row r="63" spans="1:24" x14ac:dyDescent="0.25">
      <c r="A63" t="s">
        <v>750</v>
      </c>
      <c r="D63" t="str">
        <f>LEFT(K25___K9[[#This Row],[Source.Name]],3)</f>
        <v>K25</v>
      </c>
      <c r="E63" t="str">
        <f>MID(K25___K9[[#This Row],[Source.Name]],4,LEN(K25___K9[[#This Row],[Source.Name]])-7)</f>
        <v>NH</v>
      </c>
      <c r="F63">
        <v>2025</v>
      </c>
      <c r="G63">
        <v>1</v>
      </c>
      <c r="H63" t="s">
        <v>765</v>
      </c>
      <c r="I63" t="s">
        <v>766</v>
      </c>
      <c r="J63">
        <v>3</v>
      </c>
      <c r="K63">
        <v>45</v>
      </c>
      <c r="L63">
        <v>45</v>
      </c>
      <c r="R63" t="s">
        <v>628</v>
      </c>
      <c r="U63" t="s">
        <v>751</v>
      </c>
      <c r="X63" t="s">
        <v>5</v>
      </c>
    </row>
    <row r="64" spans="1:24" x14ac:dyDescent="0.25">
      <c r="A64" t="s">
        <v>750</v>
      </c>
      <c r="D64" t="str">
        <f>LEFT(K25___K9[[#This Row],[Source.Name]],3)</f>
        <v>K25</v>
      </c>
      <c r="E64" t="str">
        <f>MID(K25___K9[[#This Row],[Source.Name]],4,LEN(K25___K9[[#This Row],[Source.Name]])-7)</f>
        <v>NH</v>
      </c>
      <c r="F64">
        <v>2025</v>
      </c>
      <c r="G64">
        <v>1</v>
      </c>
      <c r="H64" t="s">
        <v>767</v>
      </c>
      <c r="I64" t="s">
        <v>768</v>
      </c>
      <c r="J64">
        <v>3</v>
      </c>
      <c r="K64">
        <v>45</v>
      </c>
      <c r="L64">
        <v>45</v>
      </c>
      <c r="R64" t="s">
        <v>628</v>
      </c>
      <c r="U64" t="s">
        <v>666</v>
      </c>
      <c r="X64" t="s">
        <v>5</v>
      </c>
    </row>
    <row r="65" spans="1:24" x14ac:dyDescent="0.25">
      <c r="A65" t="s">
        <v>750</v>
      </c>
      <c r="D65" t="str">
        <f>LEFT(K25___K9[[#This Row],[Source.Name]],3)</f>
        <v>K25</v>
      </c>
      <c r="E65" t="str">
        <f>MID(K25___K9[[#This Row],[Source.Name]],4,LEN(K25___K9[[#This Row],[Source.Name]])-7)</f>
        <v>NH</v>
      </c>
      <c r="F65">
        <v>2025</v>
      </c>
      <c r="G65">
        <v>1</v>
      </c>
      <c r="H65" t="s">
        <v>769</v>
      </c>
      <c r="I65" t="s">
        <v>770</v>
      </c>
      <c r="J65">
        <v>3</v>
      </c>
      <c r="K65">
        <v>45</v>
      </c>
      <c r="L65">
        <v>45</v>
      </c>
      <c r="R65" t="s">
        <v>628</v>
      </c>
      <c r="U65" t="s">
        <v>771</v>
      </c>
      <c r="X65" t="s">
        <v>5</v>
      </c>
    </row>
    <row r="66" spans="1:24" x14ac:dyDescent="0.25">
      <c r="A66" t="s">
        <v>772</v>
      </c>
      <c r="D66" t="str">
        <f>LEFT(K25___K9[[#This Row],[Source.Name]],3)</f>
        <v>K25</v>
      </c>
      <c r="E66" t="str">
        <f>MID(K25___K9[[#This Row],[Source.Name]],4,LEN(K25___K9[[#This Row],[Source.Name]])-7)</f>
        <v>QTKD</v>
      </c>
      <c r="F66">
        <v>2025</v>
      </c>
      <c r="G66">
        <v>1</v>
      </c>
      <c r="H66" t="s">
        <v>774</v>
      </c>
      <c r="I66" t="s">
        <v>775</v>
      </c>
      <c r="J66">
        <v>3</v>
      </c>
      <c r="K66">
        <v>45</v>
      </c>
      <c r="L66">
        <v>45</v>
      </c>
      <c r="S66" t="s">
        <v>776</v>
      </c>
      <c r="U66" t="s">
        <v>721</v>
      </c>
      <c r="X66" t="s">
        <v>5</v>
      </c>
    </row>
    <row r="67" spans="1:24" x14ac:dyDescent="0.25">
      <c r="A67" t="s">
        <v>772</v>
      </c>
      <c r="D67" t="str">
        <f>LEFT(K25___K9[[#This Row],[Source.Name]],3)</f>
        <v>K25</v>
      </c>
      <c r="E67" t="str">
        <f>MID(K25___K9[[#This Row],[Source.Name]],4,LEN(K25___K9[[#This Row],[Source.Name]])-7)</f>
        <v>QTKD</v>
      </c>
      <c r="F67">
        <v>2025</v>
      </c>
      <c r="G67">
        <v>1</v>
      </c>
      <c r="H67" t="s">
        <v>777</v>
      </c>
      <c r="I67" t="s">
        <v>778</v>
      </c>
      <c r="J67">
        <v>3</v>
      </c>
      <c r="K67">
        <v>45</v>
      </c>
      <c r="L67">
        <v>45</v>
      </c>
      <c r="S67" t="s">
        <v>776</v>
      </c>
      <c r="U67" t="s">
        <v>721</v>
      </c>
      <c r="X67" t="s">
        <v>5</v>
      </c>
    </row>
    <row r="68" spans="1:24" x14ac:dyDescent="0.25">
      <c r="A68" t="s">
        <v>772</v>
      </c>
      <c r="D68" t="str">
        <f>LEFT(K25___K9[[#This Row],[Source.Name]],3)</f>
        <v>K25</v>
      </c>
      <c r="E68" t="str">
        <f>MID(K25___K9[[#This Row],[Source.Name]],4,LEN(K25___K9[[#This Row],[Source.Name]])-7)</f>
        <v>QTKD</v>
      </c>
      <c r="F68">
        <v>2025</v>
      </c>
      <c r="G68">
        <v>1</v>
      </c>
      <c r="H68" t="s">
        <v>779</v>
      </c>
      <c r="I68" t="s">
        <v>780</v>
      </c>
      <c r="J68">
        <v>3</v>
      </c>
      <c r="K68">
        <v>45</v>
      </c>
      <c r="L68">
        <v>45</v>
      </c>
      <c r="S68" t="s">
        <v>781</v>
      </c>
      <c r="U68" t="s">
        <v>721</v>
      </c>
      <c r="X68" t="s">
        <v>5</v>
      </c>
    </row>
    <row r="69" spans="1:24" x14ac:dyDescent="0.25">
      <c r="A69" t="s">
        <v>772</v>
      </c>
      <c r="D69" t="str">
        <f>LEFT(K25___K9[[#This Row],[Source.Name]],3)</f>
        <v>K25</v>
      </c>
      <c r="E69" t="str">
        <f>MID(K25___K9[[#This Row],[Source.Name]],4,LEN(K25___K9[[#This Row],[Source.Name]])-7)</f>
        <v>QTKD</v>
      </c>
      <c r="F69">
        <v>2025</v>
      </c>
      <c r="G69">
        <v>1</v>
      </c>
      <c r="H69" t="s">
        <v>719</v>
      </c>
      <c r="I69" t="s">
        <v>720</v>
      </c>
      <c r="J69">
        <v>3</v>
      </c>
      <c r="K69">
        <v>45</v>
      </c>
      <c r="L69">
        <v>45</v>
      </c>
      <c r="S69" t="s">
        <v>776</v>
      </c>
      <c r="U69" t="s">
        <v>721</v>
      </c>
      <c r="X69" t="s">
        <v>5</v>
      </c>
    </row>
    <row r="70" spans="1:24" x14ac:dyDescent="0.25">
      <c r="A70" t="s">
        <v>772</v>
      </c>
      <c r="D70" t="str">
        <f>LEFT(K25___K9[[#This Row],[Source.Name]],3)</f>
        <v>K25</v>
      </c>
      <c r="E70" t="str">
        <f>MID(K25___K9[[#This Row],[Source.Name]],4,LEN(K25___K9[[#This Row],[Source.Name]])-7)</f>
        <v>QTKD</v>
      </c>
      <c r="F70">
        <v>2025</v>
      </c>
      <c r="G70">
        <v>1</v>
      </c>
      <c r="H70" t="s">
        <v>782</v>
      </c>
      <c r="I70" t="s">
        <v>783</v>
      </c>
      <c r="J70">
        <v>3</v>
      </c>
      <c r="K70">
        <v>45</v>
      </c>
      <c r="L70">
        <v>45</v>
      </c>
      <c r="S70" t="s">
        <v>781</v>
      </c>
      <c r="U70" t="s">
        <v>721</v>
      </c>
      <c r="X70" t="s">
        <v>5</v>
      </c>
    </row>
    <row r="71" spans="1:24" x14ac:dyDescent="0.25">
      <c r="A71" t="s">
        <v>772</v>
      </c>
      <c r="D71" t="str">
        <f>LEFT(K25___K9[[#This Row],[Source.Name]],3)</f>
        <v>K25</v>
      </c>
      <c r="E71" t="str">
        <f>MID(K25___K9[[#This Row],[Source.Name]],4,LEN(K25___K9[[#This Row],[Source.Name]])-7)</f>
        <v>QTKD</v>
      </c>
      <c r="F71">
        <v>2025</v>
      </c>
      <c r="G71">
        <v>1</v>
      </c>
      <c r="H71" t="s">
        <v>784</v>
      </c>
      <c r="I71" t="s">
        <v>785</v>
      </c>
      <c r="J71">
        <v>3</v>
      </c>
      <c r="K71">
        <v>45</v>
      </c>
      <c r="L71">
        <v>45</v>
      </c>
      <c r="S71" t="s">
        <v>776</v>
      </c>
      <c r="U71" t="s">
        <v>721</v>
      </c>
      <c r="X71" t="s">
        <v>5</v>
      </c>
    </row>
    <row r="72" spans="1:24" x14ac:dyDescent="0.25">
      <c r="A72" t="s">
        <v>772</v>
      </c>
      <c r="D72" t="str">
        <f>LEFT(K25___K9[[#This Row],[Source.Name]],3)</f>
        <v>K25</v>
      </c>
      <c r="E72" t="str">
        <f>MID(K25___K9[[#This Row],[Source.Name]],4,LEN(K25___K9[[#This Row],[Source.Name]])-7)</f>
        <v>QTKD</v>
      </c>
      <c r="F72">
        <v>2025</v>
      </c>
      <c r="G72">
        <v>1</v>
      </c>
      <c r="H72" t="s">
        <v>786</v>
      </c>
      <c r="I72" t="s">
        <v>787</v>
      </c>
      <c r="J72">
        <v>3</v>
      </c>
      <c r="K72">
        <v>45</v>
      </c>
      <c r="L72">
        <v>45</v>
      </c>
      <c r="S72" t="s">
        <v>788</v>
      </c>
      <c r="U72" t="s">
        <v>687</v>
      </c>
      <c r="X72" t="s">
        <v>5</v>
      </c>
    </row>
    <row r="73" spans="1:24" x14ac:dyDescent="0.25">
      <c r="A73" t="s">
        <v>772</v>
      </c>
      <c r="D73" t="str">
        <f>LEFT(K25___K9[[#This Row],[Source.Name]],3)</f>
        <v>K25</v>
      </c>
      <c r="E73" t="str">
        <f>MID(K25___K9[[#This Row],[Source.Name]],4,LEN(K25___K9[[#This Row],[Source.Name]])-7)</f>
        <v>QTKD</v>
      </c>
      <c r="F73">
        <v>2025</v>
      </c>
      <c r="G73">
        <v>1</v>
      </c>
      <c r="H73" t="s">
        <v>239</v>
      </c>
      <c r="I73" t="s">
        <v>240</v>
      </c>
      <c r="J73">
        <v>3</v>
      </c>
      <c r="K73">
        <v>45</v>
      </c>
      <c r="L73">
        <v>45</v>
      </c>
      <c r="S73" t="s">
        <v>788</v>
      </c>
      <c r="U73" t="s">
        <v>687</v>
      </c>
      <c r="X73" t="s">
        <v>5</v>
      </c>
    </row>
    <row r="74" spans="1:24" x14ac:dyDescent="0.25">
      <c r="A74" t="s">
        <v>772</v>
      </c>
      <c r="D74" t="str">
        <f>LEFT(K25___K9[[#This Row],[Source.Name]],3)</f>
        <v>K25</v>
      </c>
      <c r="E74" t="str">
        <f>MID(K25___K9[[#This Row],[Source.Name]],4,LEN(K25___K9[[#This Row],[Source.Name]])-7)</f>
        <v>QTKD</v>
      </c>
      <c r="F74">
        <v>2025</v>
      </c>
      <c r="G74">
        <v>1</v>
      </c>
      <c r="H74" t="s">
        <v>789</v>
      </c>
      <c r="I74" t="s">
        <v>251</v>
      </c>
      <c r="J74">
        <v>3</v>
      </c>
      <c r="K74">
        <v>45</v>
      </c>
      <c r="L74">
        <v>45</v>
      </c>
      <c r="S74" t="s">
        <v>788</v>
      </c>
      <c r="U74" t="s">
        <v>687</v>
      </c>
      <c r="X74" t="s">
        <v>5</v>
      </c>
    </row>
    <row r="75" spans="1:24" x14ac:dyDescent="0.25">
      <c r="A75" t="s">
        <v>772</v>
      </c>
      <c r="D75" t="str">
        <f>LEFT(K25___K9[[#This Row],[Source.Name]],3)</f>
        <v>K25</v>
      </c>
      <c r="E75" t="str">
        <f>MID(K25___K9[[#This Row],[Source.Name]],4,LEN(K25___K9[[#This Row],[Source.Name]])-7)</f>
        <v>QTKD</v>
      </c>
      <c r="F75">
        <v>2025</v>
      </c>
      <c r="G75">
        <v>1</v>
      </c>
      <c r="H75" t="s">
        <v>790</v>
      </c>
      <c r="I75" t="s">
        <v>791</v>
      </c>
      <c r="J75">
        <v>3</v>
      </c>
      <c r="K75">
        <v>45</v>
      </c>
      <c r="L75">
        <v>45</v>
      </c>
      <c r="S75" t="s">
        <v>788</v>
      </c>
      <c r="U75" t="s">
        <v>687</v>
      </c>
      <c r="X75" t="s">
        <v>5</v>
      </c>
    </row>
    <row r="76" spans="1:24" x14ac:dyDescent="0.25">
      <c r="A76" t="s">
        <v>772</v>
      </c>
      <c r="D76" t="str">
        <f>LEFT(K25___K9[[#This Row],[Source.Name]],3)</f>
        <v>K25</v>
      </c>
      <c r="E76" t="str">
        <f>MID(K25___K9[[#This Row],[Source.Name]],4,LEN(K25___K9[[#This Row],[Source.Name]])-7)</f>
        <v>QTKD</v>
      </c>
      <c r="F76">
        <v>2025</v>
      </c>
      <c r="G76">
        <v>1</v>
      </c>
      <c r="H76" t="s">
        <v>792</v>
      </c>
      <c r="I76" t="s">
        <v>793</v>
      </c>
      <c r="J76">
        <v>3</v>
      </c>
      <c r="K76">
        <v>45</v>
      </c>
      <c r="L76">
        <v>45</v>
      </c>
      <c r="S76" t="s">
        <v>788</v>
      </c>
      <c r="U76" t="s">
        <v>687</v>
      </c>
      <c r="X76" t="s">
        <v>5</v>
      </c>
    </row>
    <row r="77" spans="1:24" x14ac:dyDescent="0.25">
      <c r="A77" t="s">
        <v>794</v>
      </c>
      <c r="D77" t="str">
        <f>LEFT(K25___K9[[#This Row],[Source.Name]],3)</f>
        <v>K25</v>
      </c>
      <c r="E77" t="str">
        <f>MID(K25___K9[[#This Row],[Source.Name]],4,LEN(K25___K9[[#This Row],[Source.Name]])-7)</f>
        <v>TC</v>
      </c>
      <c r="F77">
        <v>2025</v>
      </c>
      <c r="G77">
        <v>1</v>
      </c>
      <c r="H77" t="s">
        <v>795</v>
      </c>
      <c r="I77" t="s">
        <v>796</v>
      </c>
      <c r="J77">
        <v>2</v>
      </c>
      <c r="K77">
        <v>30</v>
      </c>
      <c r="L77">
        <v>30</v>
      </c>
      <c r="U77" t="s">
        <v>797</v>
      </c>
      <c r="X77" t="s">
        <v>5</v>
      </c>
    </row>
    <row r="78" spans="1:24" x14ac:dyDescent="0.25">
      <c r="A78" t="s">
        <v>794</v>
      </c>
      <c r="D78" t="str">
        <f>LEFT(K25___K9[[#This Row],[Source.Name]],3)</f>
        <v>K25</v>
      </c>
      <c r="E78" t="str">
        <f>MID(K25___K9[[#This Row],[Source.Name]],4,LEN(K25___K9[[#This Row],[Source.Name]])-7)</f>
        <v>TC</v>
      </c>
      <c r="F78">
        <v>2025</v>
      </c>
      <c r="G78">
        <v>1</v>
      </c>
      <c r="H78" t="s">
        <v>798</v>
      </c>
      <c r="I78" t="s">
        <v>799</v>
      </c>
      <c r="J78">
        <v>3</v>
      </c>
      <c r="K78">
        <v>45</v>
      </c>
      <c r="L78">
        <v>45</v>
      </c>
      <c r="U78" t="s">
        <v>728</v>
      </c>
      <c r="X78" t="s">
        <v>5</v>
      </c>
    </row>
    <row r="79" spans="1:24" x14ac:dyDescent="0.25">
      <c r="A79" t="s">
        <v>794</v>
      </c>
      <c r="D79" t="str">
        <f>LEFT(K25___K9[[#This Row],[Source.Name]],3)</f>
        <v>K25</v>
      </c>
      <c r="E79" t="str">
        <f>MID(K25___K9[[#This Row],[Source.Name]],4,LEN(K25___K9[[#This Row],[Source.Name]])-7)</f>
        <v>TC</v>
      </c>
      <c r="F79">
        <v>2025</v>
      </c>
      <c r="G79">
        <v>1</v>
      </c>
      <c r="H79" t="s">
        <v>800</v>
      </c>
      <c r="I79" t="s">
        <v>801</v>
      </c>
      <c r="J79">
        <v>2</v>
      </c>
      <c r="K79">
        <v>30</v>
      </c>
      <c r="L79">
        <v>30</v>
      </c>
      <c r="X79" t="s">
        <v>5</v>
      </c>
    </row>
    <row r="80" spans="1:24" x14ac:dyDescent="0.25">
      <c r="A80" t="s">
        <v>794</v>
      </c>
      <c r="D80" t="str">
        <f>LEFT(K25___K9[[#This Row],[Source.Name]],3)</f>
        <v>K25</v>
      </c>
      <c r="E80" t="str">
        <f>MID(K25___K9[[#This Row],[Source.Name]],4,LEN(K25___K9[[#This Row],[Source.Name]])-7)</f>
        <v>TC</v>
      </c>
      <c r="F80">
        <v>2025</v>
      </c>
      <c r="G80">
        <v>1</v>
      </c>
      <c r="H80" t="s">
        <v>802</v>
      </c>
      <c r="I80" t="s">
        <v>803</v>
      </c>
      <c r="J80">
        <v>1</v>
      </c>
      <c r="K80">
        <v>15</v>
      </c>
      <c r="L80">
        <v>15</v>
      </c>
      <c r="X80" t="s">
        <v>5</v>
      </c>
    </row>
    <row r="81" spans="1:24" x14ac:dyDescent="0.25">
      <c r="A81" t="s">
        <v>794</v>
      </c>
      <c r="D81" t="str">
        <f>LEFT(K25___K9[[#This Row],[Source.Name]],3)</f>
        <v>K25</v>
      </c>
      <c r="E81" t="str">
        <f>MID(K25___K9[[#This Row],[Source.Name]],4,LEN(K25___K9[[#This Row],[Source.Name]])-7)</f>
        <v>TC</v>
      </c>
      <c r="F81">
        <v>2025</v>
      </c>
      <c r="G81">
        <v>1</v>
      </c>
      <c r="H81" t="s">
        <v>804</v>
      </c>
      <c r="I81" t="s">
        <v>805</v>
      </c>
      <c r="J81">
        <v>3</v>
      </c>
      <c r="K81">
        <v>45</v>
      </c>
      <c r="L81">
        <v>45</v>
      </c>
      <c r="S81" t="s">
        <v>806</v>
      </c>
      <c r="U81" t="s">
        <v>807</v>
      </c>
      <c r="X81" t="s">
        <v>5</v>
      </c>
    </row>
    <row r="82" spans="1:24" x14ac:dyDescent="0.25">
      <c r="A82" t="s">
        <v>794</v>
      </c>
      <c r="D82" t="str">
        <f>LEFT(K25___K9[[#This Row],[Source.Name]],3)</f>
        <v>K25</v>
      </c>
      <c r="E82" t="str">
        <f>MID(K25___K9[[#This Row],[Source.Name]],4,LEN(K25___K9[[#This Row],[Source.Name]])-7)</f>
        <v>TC</v>
      </c>
      <c r="F82">
        <v>2025</v>
      </c>
      <c r="G82">
        <v>1</v>
      </c>
      <c r="H82" t="s">
        <v>808</v>
      </c>
      <c r="I82" t="s">
        <v>809</v>
      </c>
      <c r="J82">
        <v>3</v>
      </c>
      <c r="K82">
        <v>45</v>
      </c>
      <c r="L82">
        <v>45</v>
      </c>
      <c r="S82" t="s">
        <v>806</v>
      </c>
      <c r="U82" t="s">
        <v>807</v>
      </c>
      <c r="X82" t="s">
        <v>5</v>
      </c>
    </row>
    <row r="83" spans="1:24" x14ac:dyDescent="0.25">
      <c r="A83" t="s">
        <v>794</v>
      </c>
      <c r="D83" t="str">
        <f>LEFT(K25___K9[[#This Row],[Source.Name]],3)</f>
        <v>K25</v>
      </c>
      <c r="E83" t="str">
        <f>MID(K25___K9[[#This Row],[Source.Name]],4,LEN(K25___K9[[#This Row],[Source.Name]])-7)</f>
        <v>TC</v>
      </c>
      <c r="F83">
        <v>2025</v>
      </c>
      <c r="G83">
        <v>1</v>
      </c>
      <c r="H83" t="s">
        <v>810</v>
      </c>
      <c r="I83" t="s">
        <v>811</v>
      </c>
      <c r="J83">
        <v>3</v>
      </c>
      <c r="K83">
        <v>45</v>
      </c>
      <c r="L83">
        <v>45</v>
      </c>
      <c r="S83" t="s">
        <v>806</v>
      </c>
      <c r="U83" t="s">
        <v>807</v>
      </c>
      <c r="X83" t="s">
        <v>5</v>
      </c>
    </row>
    <row r="84" spans="1:24" x14ac:dyDescent="0.25">
      <c r="A84" t="s">
        <v>794</v>
      </c>
      <c r="D84" t="str">
        <f>LEFT(K25___K9[[#This Row],[Source.Name]],3)</f>
        <v>K25</v>
      </c>
      <c r="E84" t="str">
        <f>MID(K25___K9[[#This Row],[Source.Name]],4,LEN(K25___K9[[#This Row],[Source.Name]])-7)</f>
        <v>TC</v>
      </c>
      <c r="F84">
        <v>2025</v>
      </c>
      <c r="G84">
        <v>1</v>
      </c>
      <c r="H84" t="s">
        <v>812</v>
      </c>
      <c r="I84" t="s">
        <v>813</v>
      </c>
      <c r="J84">
        <v>3</v>
      </c>
      <c r="K84">
        <v>45</v>
      </c>
      <c r="L84">
        <v>45</v>
      </c>
      <c r="S84" t="s">
        <v>814</v>
      </c>
      <c r="U84" t="s">
        <v>815</v>
      </c>
      <c r="X84" t="s">
        <v>5</v>
      </c>
    </row>
    <row r="85" spans="1:24" x14ac:dyDescent="0.25">
      <c r="A85" t="s">
        <v>794</v>
      </c>
      <c r="D85" t="str">
        <f>LEFT(K25___K9[[#This Row],[Source.Name]],3)</f>
        <v>K25</v>
      </c>
      <c r="E85" t="str">
        <f>MID(K25___K9[[#This Row],[Source.Name]],4,LEN(K25___K9[[#This Row],[Source.Name]])-7)</f>
        <v>TC</v>
      </c>
      <c r="F85">
        <v>2025</v>
      </c>
      <c r="G85">
        <v>1</v>
      </c>
      <c r="H85" t="s">
        <v>816</v>
      </c>
      <c r="I85" t="s">
        <v>817</v>
      </c>
      <c r="J85">
        <v>3</v>
      </c>
      <c r="K85">
        <v>45</v>
      </c>
      <c r="L85">
        <v>45</v>
      </c>
      <c r="S85" t="s">
        <v>818</v>
      </c>
      <c r="U85" t="s">
        <v>819</v>
      </c>
      <c r="X85" t="s">
        <v>5</v>
      </c>
    </row>
    <row r="86" spans="1:24" x14ac:dyDescent="0.25">
      <c r="A86" t="s">
        <v>794</v>
      </c>
      <c r="D86" t="str">
        <f>LEFT(K25___K9[[#This Row],[Source.Name]],3)</f>
        <v>K25</v>
      </c>
      <c r="E86" t="str">
        <f>MID(K25___K9[[#This Row],[Source.Name]],4,LEN(K25___K9[[#This Row],[Source.Name]])-7)</f>
        <v>TC</v>
      </c>
      <c r="F86">
        <v>2025</v>
      </c>
      <c r="G86">
        <v>1</v>
      </c>
      <c r="H86" t="s">
        <v>820</v>
      </c>
      <c r="I86" t="s">
        <v>821</v>
      </c>
      <c r="J86">
        <v>3</v>
      </c>
      <c r="K86">
        <v>45</v>
      </c>
      <c r="L86">
        <v>45</v>
      </c>
      <c r="S86" t="s">
        <v>818</v>
      </c>
      <c r="U86" t="s">
        <v>771</v>
      </c>
      <c r="X86" t="s">
        <v>5</v>
      </c>
    </row>
    <row r="87" spans="1:24" x14ac:dyDescent="0.25">
      <c r="A87" t="s">
        <v>794</v>
      </c>
      <c r="D87" t="str">
        <f>LEFT(K25___K9[[#This Row],[Source.Name]],3)</f>
        <v>K25</v>
      </c>
      <c r="E87" t="str">
        <f>MID(K25___K9[[#This Row],[Source.Name]],4,LEN(K25___K9[[#This Row],[Source.Name]])-7)</f>
        <v>TC</v>
      </c>
      <c r="F87">
        <v>2025</v>
      </c>
      <c r="G87">
        <v>1</v>
      </c>
      <c r="H87" t="s">
        <v>822</v>
      </c>
      <c r="I87" t="s">
        <v>823</v>
      </c>
      <c r="J87">
        <v>3</v>
      </c>
      <c r="K87">
        <v>45</v>
      </c>
      <c r="L87">
        <v>45</v>
      </c>
      <c r="S87" t="s">
        <v>814</v>
      </c>
      <c r="U87" t="s">
        <v>815</v>
      </c>
      <c r="X87" t="s">
        <v>5</v>
      </c>
    </row>
    <row r="88" spans="1:24" x14ac:dyDescent="0.25">
      <c r="A88" t="s">
        <v>794</v>
      </c>
      <c r="D88" t="str">
        <f>LEFT(K25___K9[[#This Row],[Source.Name]],3)</f>
        <v>K25</v>
      </c>
      <c r="E88" t="str">
        <f>MID(K25___K9[[#This Row],[Source.Name]],4,LEN(K25___K9[[#This Row],[Source.Name]])-7)</f>
        <v>TC</v>
      </c>
      <c r="F88">
        <v>2025</v>
      </c>
      <c r="G88">
        <v>1</v>
      </c>
      <c r="H88" t="s">
        <v>824</v>
      </c>
      <c r="I88" t="s">
        <v>825</v>
      </c>
      <c r="J88">
        <v>3</v>
      </c>
      <c r="K88">
        <v>45</v>
      </c>
      <c r="L88">
        <v>45</v>
      </c>
      <c r="S88" t="s">
        <v>814</v>
      </c>
      <c r="U88" t="s">
        <v>815</v>
      </c>
      <c r="X88" t="s">
        <v>5</v>
      </c>
    </row>
    <row r="89" spans="1:24" x14ac:dyDescent="0.25">
      <c r="A89" t="s">
        <v>794</v>
      </c>
      <c r="D89" t="str">
        <f>LEFT(K25___K9[[#This Row],[Source.Name]],3)</f>
        <v>K25</v>
      </c>
      <c r="E89" t="str">
        <f>MID(K25___K9[[#This Row],[Source.Name]],4,LEN(K25___K9[[#This Row],[Source.Name]])-7)</f>
        <v>TC</v>
      </c>
      <c r="F89">
        <v>2025</v>
      </c>
      <c r="G89">
        <v>1</v>
      </c>
      <c r="H89" t="s">
        <v>826</v>
      </c>
      <c r="I89" t="s">
        <v>827</v>
      </c>
      <c r="J89">
        <v>3</v>
      </c>
      <c r="K89">
        <v>45</v>
      </c>
      <c r="L89">
        <v>45</v>
      </c>
      <c r="S89" t="s">
        <v>818</v>
      </c>
      <c r="U89" t="s">
        <v>797</v>
      </c>
      <c r="X89" t="s">
        <v>5</v>
      </c>
    </row>
    <row r="90" spans="1:24" x14ac:dyDescent="0.25">
      <c r="A90" t="s">
        <v>828</v>
      </c>
      <c r="D90" t="str">
        <f>LEFT(K25___K9[[#This Row],[Source.Name]],3)</f>
        <v>K9K</v>
      </c>
      <c r="E90" t="str">
        <f>MID(K25___K9[[#This Row],[Source.Name]],3,LEN(K25___K9[[#This Row],[Source.Name]])-6)</f>
        <v>KT</v>
      </c>
      <c r="F90">
        <v>2025</v>
      </c>
      <c r="G90">
        <v>1</v>
      </c>
      <c r="H90" t="s">
        <v>320</v>
      </c>
      <c r="I90" t="s">
        <v>145</v>
      </c>
      <c r="J90">
        <v>3</v>
      </c>
      <c r="K90">
        <v>45</v>
      </c>
      <c r="L90">
        <v>45</v>
      </c>
      <c r="U90" t="s">
        <v>832</v>
      </c>
      <c r="X90" t="s">
        <v>5</v>
      </c>
    </row>
    <row r="91" spans="1:24" x14ac:dyDescent="0.25">
      <c r="A91" t="s">
        <v>828</v>
      </c>
      <c r="D91" t="str">
        <f>LEFT(K25___K9[[#This Row],[Source.Name]],3)</f>
        <v>K9K</v>
      </c>
      <c r="E91" t="str">
        <f>MID(K25___K9[[#This Row],[Source.Name]],3,LEN(K25___K9[[#This Row],[Source.Name]])-6)</f>
        <v>KT</v>
      </c>
      <c r="F91">
        <v>2025</v>
      </c>
      <c r="G91">
        <v>1</v>
      </c>
      <c r="H91" t="s">
        <v>833</v>
      </c>
      <c r="I91" t="s">
        <v>834</v>
      </c>
      <c r="J91">
        <v>3</v>
      </c>
      <c r="K91">
        <v>45</v>
      </c>
      <c r="L91">
        <v>45</v>
      </c>
      <c r="U91" t="s">
        <v>835</v>
      </c>
      <c r="X91" t="s">
        <v>5</v>
      </c>
    </row>
    <row r="92" spans="1:24" x14ac:dyDescent="0.25">
      <c r="A92" t="s">
        <v>828</v>
      </c>
      <c r="D92" t="str">
        <f>LEFT(K25___K9[[#This Row],[Source.Name]],3)</f>
        <v>K9K</v>
      </c>
      <c r="E92" t="str">
        <f>MID(K25___K9[[#This Row],[Source.Name]],3,LEN(K25___K9[[#This Row],[Source.Name]])-6)</f>
        <v>KT</v>
      </c>
      <c r="F92">
        <v>2025</v>
      </c>
      <c r="G92">
        <v>1</v>
      </c>
      <c r="H92" t="s">
        <v>836</v>
      </c>
      <c r="I92" t="s">
        <v>837</v>
      </c>
      <c r="J92">
        <v>3</v>
      </c>
      <c r="K92">
        <v>45</v>
      </c>
      <c r="L92">
        <v>45</v>
      </c>
      <c r="U92" t="s">
        <v>290</v>
      </c>
      <c r="X92" t="s">
        <v>5</v>
      </c>
    </row>
    <row r="93" spans="1:24" x14ac:dyDescent="0.25">
      <c r="A93" t="s">
        <v>828</v>
      </c>
      <c r="D93" t="str">
        <f>LEFT(K25___K9[[#This Row],[Source.Name]],3)</f>
        <v>K9K</v>
      </c>
      <c r="E93" t="str">
        <f>MID(K25___K9[[#This Row],[Source.Name]],3,LEN(K25___K9[[#This Row],[Source.Name]])-6)</f>
        <v>KT</v>
      </c>
      <c r="F93">
        <v>2025</v>
      </c>
      <c r="G93">
        <v>1</v>
      </c>
      <c r="H93" t="s">
        <v>838</v>
      </c>
      <c r="I93" t="s">
        <v>707</v>
      </c>
      <c r="J93">
        <v>3</v>
      </c>
      <c r="K93">
        <v>45</v>
      </c>
      <c r="L93">
        <v>45</v>
      </c>
      <c r="U93" t="s">
        <v>835</v>
      </c>
      <c r="X93" t="s">
        <v>5</v>
      </c>
    </row>
    <row r="94" spans="1:24" x14ac:dyDescent="0.25">
      <c r="A94" t="s">
        <v>828</v>
      </c>
      <c r="D94" t="str">
        <f>LEFT(K25___K9[[#This Row],[Source.Name]],3)</f>
        <v>K9K</v>
      </c>
      <c r="E94" t="str">
        <f>MID(K25___K9[[#This Row],[Source.Name]],3,LEN(K25___K9[[#This Row],[Source.Name]])-6)</f>
        <v>KT</v>
      </c>
      <c r="F94">
        <v>2025</v>
      </c>
      <c r="G94">
        <v>1</v>
      </c>
      <c r="H94" t="s">
        <v>839</v>
      </c>
      <c r="I94" t="s">
        <v>840</v>
      </c>
      <c r="J94">
        <v>3</v>
      </c>
      <c r="K94">
        <v>45</v>
      </c>
      <c r="L94">
        <v>45</v>
      </c>
      <c r="S94" t="s">
        <v>830</v>
      </c>
      <c r="U94" t="s">
        <v>841</v>
      </c>
      <c r="X94" t="s">
        <v>5</v>
      </c>
    </row>
    <row r="95" spans="1:24" x14ac:dyDescent="0.25">
      <c r="A95" t="s">
        <v>828</v>
      </c>
      <c r="D95" t="str">
        <f>LEFT(K25___K9[[#This Row],[Source.Name]],3)</f>
        <v>K9K</v>
      </c>
      <c r="E95" t="str">
        <f>MID(K25___K9[[#This Row],[Source.Name]],3,LEN(K25___K9[[#This Row],[Source.Name]])-6)</f>
        <v>KT</v>
      </c>
      <c r="F95">
        <v>2025</v>
      </c>
      <c r="G95">
        <v>1</v>
      </c>
      <c r="H95" t="s">
        <v>842</v>
      </c>
      <c r="I95" t="s">
        <v>840</v>
      </c>
      <c r="J95">
        <v>3</v>
      </c>
      <c r="K95">
        <v>45</v>
      </c>
      <c r="L95">
        <v>45</v>
      </c>
      <c r="S95" t="s">
        <v>831</v>
      </c>
      <c r="U95" t="s">
        <v>843</v>
      </c>
      <c r="X95" t="s">
        <v>5</v>
      </c>
    </row>
    <row r="96" spans="1:24" x14ac:dyDescent="0.25">
      <c r="A96" t="s">
        <v>844</v>
      </c>
      <c r="D96" t="str">
        <f>LEFT(K25___K9[[#This Row],[Source.Name]],3)</f>
        <v>K9N</v>
      </c>
      <c r="E96" t="str">
        <f>MID(K25___K9[[#This Row],[Source.Name]],3,LEN(K25___K9[[#This Row],[Source.Name]])-6)</f>
        <v>NH</v>
      </c>
      <c r="F96">
        <v>2025</v>
      </c>
      <c r="G96">
        <v>1</v>
      </c>
      <c r="H96" t="s">
        <v>846</v>
      </c>
      <c r="I96" t="s">
        <v>727</v>
      </c>
      <c r="J96">
        <v>3</v>
      </c>
      <c r="K96">
        <v>45</v>
      </c>
      <c r="L96">
        <v>45</v>
      </c>
      <c r="U96" t="s">
        <v>845</v>
      </c>
      <c r="X96" t="s">
        <v>5</v>
      </c>
    </row>
    <row r="97" spans="1:24" x14ac:dyDescent="0.25">
      <c r="A97" t="s">
        <v>844</v>
      </c>
      <c r="D97" t="str">
        <f>LEFT(K25___K9[[#This Row],[Source.Name]],3)</f>
        <v>K9N</v>
      </c>
      <c r="E97" t="str">
        <f>MID(K25___K9[[#This Row],[Source.Name]],3,LEN(K25___K9[[#This Row],[Source.Name]])-6)</f>
        <v>NH</v>
      </c>
      <c r="F97">
        <v>2025</v>
      </c>
      <c r="G97">
        <v>1</v>
      </c>
      <c r="H97" t="s">
        <v>847</v>
      </c>
      <c r="I97" t="s">
        <v>630</v>
      </c>
      <c r="J97">
        <v>3</v>
      </c>
      <c r="K97">
        <v>45</v>
      </c>
      <c r="L97">
        <v>45</v>
      </c>
      <c r="U97" t="s">
        <v>848</v>
      </c>
      <c r="X97" t="s">
        <v>5</v>
      </c>
    </row>
    <row r="98" spans="1:24" x14ac:dyDescent="0.25">
      <c r="A98" t="s">
        <v>844</v>
      </c>
      <c r="D98" t="str">
        <f>LEFT(K25___K9[[#This Row],[Source.Name]],3)</f>
        <v>K9N</v>
      </c>
      <c r="E98" t="str">
        <f>MID(K25___K9[[#This Row],[Source.Name]],3,LEN(K25___K9[[#This Row],[Source.Name]])-6)</f>
        <v>NH</v>
      </c>
      <c r="F98">
        <v>2025</v>
      </c>
      <c r="G98">
        <v>1</v>
      </c>
      <c r="H98" t="s">
        <v>849</v>
      </c>
      <c r="I98" t="s">
        <v>754</v>
      </c>
      <c r="J98">
        <v>3</v>
      </c>
      <c r="K98">
        <v>45</v>
      </c>
      <c r="L98">
        <v>45</v>
      </c>
      <c r="U98" t="s">
        <v>845</v>
      </c>
      <c r="X98" t="s">
        <v>5</v>
      </c>
    </row>
    <row r="99" spans="1:24" x14ac:dyDescent="0.25">
      <c r="A99" t="s">
        <v>844</v>
      </c>
      <c r="D99" t="str">
        <f>LEFT(K25___K9[[#This Row],[Source.Name]],3)</f>
        <v>K9N</v>
      </c>
      <c r="E99" t="str">
        <f>MID(K25___K9[[#This Row],[Source.Name]],3,LEN(K25___K9[[#This Row],[Source.Name]])-6)</f>
        <v>NH</v>
      </c>
      <c r="F99">
        <v>2025</v>
      </c>
      <c r="G99">
        <v>1</v>
      </c>
      <c r="H99" t="s">
        <v>850</v>
      </c>
      <c r="I99" t="s">
        <v>756</v>
      </c>
      <c r="J99">
        <v>3</v>
      </c>
      <c r="K99">
        <v>45</v>
      </c>
      <c r="L99">
        <v>45</v>
      </c>
      <c r="U99" t="s">
        <v>851</v>
      </c>
      <c r="X99" t="s">
        <v>5</v>
      </c>
    </row>
    <row r="100" spans="1:24" x14ac:dyDescent="0.25">
      <c r="A100" t="s">
        <v>844</v>
      </c>
      <c r="D100" t="str">
        <f>LEFT(K25___K9[[#This Row],[Source.Name]],3)</f>
        <v>K9N</v>
      </c>
      <c r="E100" t="str">
        <f>MID(K25___K9[[#This Row],[Source.Name]],3,LEN(K25___K9[[#This Row],[Source.Name]])-6)</f>
        <v>NH</v>
      </c>
      <c r="F100">
        <v>2025</v>
      </c>
      <c r="G100">
        <v>1</v>
      </c>
      <c r="H100" t="s">
        <v>852</v>
      </c>
      <c r="I100" t="s">
        <v>761</v>
      </c>
      <c r="J100">
        <v>3</v>
      </c>
      <c r="K100">
        <v>45</v>
      </c>
      <c r="L100">
        <v>45</v>
      </c>
      <c r="R100" t="s">
        <v>724</v>
      </c>
      <c r="U100" t="s">
        <v>853</v>
      </c>
    </row>
    <row r="101" spans="1:24" x14ac:dyDescent="0.25">
      <c r="A101" t="s">
        <v>844</v>
      </c>
      <c r="D101" t="str">
        <f>LEFT(K25___K9[[#This Row],[Source.Name]],3)</f>
        <v>K9N</v>
      </c>
      <c r="E101" t="str">
        <f>MID(K25___K9[[#This Row],[Source.Name]],3,LEN(K25___K9[[#This Row],[Source.Name]])-6)</f>
        <v>NH</v>
      </c>
      <c r="F101">
        <v>2025</v>
      </c>
      <c r="G101">
        <v>1</v>
      </c>
      <c r="H101" t="s">
        <v>854</v>
      </c>
      <c r="I101" t="s">
        <v>855</v>
      </c>
      <c r="J101">
        <v>3</v>
      </c>
      <c r="K101">
        <v>45</v>
      </c>
      <c r="L101">
        <v>45</v>
      </c>
      <c r="R101" t="s">
        <v>93</v>
      </c>
      <c r="U101" t="s">
        <v>851</v>
      </c>
      <c r="X101" t="s">
        <v>5</v>
      </c>
    </row>
    <row r="102" spans="1:24" x14ac:dyDescent="0.25">
      <c r="A102" t="s">
        <v>844</v>
      </c>
      <c r="D102" t="str">
        <f>LEFT(K25___K9[[#This Row],[Source.Name]],3)</f>
        <v>K9N</v>
      </c>
      <c r="E102" t="str">
        <f>MID(K25___K9[[#This Row],[Source.Name]],3,LEN(K25___K9[[#This Row],[Source.Name]])-6)</f>
        <v>NH</v>
      </c>
      <c r="F102">
        <v>2025</v>
      </c>
      <c r="G102">
        <v>1</v>
      </c>
      <c r="H102" t="s">
        <v>856</v>
      </c>
      <c r="I102" t="s">
        <v>766</v>
      </c>
      <c r="J102">
        <v>3</v>
      </c>
      <c r="K102">
        <v>45</v>
      </c>
      <c r="L102">
        <v>45</v>
      </c>
      <c r="R102" t="s">
        <v>724</v>
      </c>
      <c r="U102" t="s">
        <v>857</v>
      </c>
      <c r="X102" t="s">
        <v>5</v>
      </c>
    </row>
    <row r="103" spans="1:24" x14ac:dyDescent="0.25">
      <c r="A103" t="s">
        <v>844</v>
      </c>
      <c r="D103" t="str">
        <f>LEFT(K25___K9[[#This Row],[Source.Name]],3)</f>
        <v>K9N</v>
      </c>
      <c r="E103" t="str">
        <f>MID(K25___K9[[#This Row],[Source.Name]],3,LEN(K25___K9[[#This Row],[Source.Name]])-6)</f>
        <v>NH</v>
      </c>
      <c r="F103">
        <v>2025</v>
      </c>
      <c r="G103">
        <v>1</v>
      </c>
      <c r="H103" t="s">
        <v>858</v>
      </c>
      <c r="I103" t="s">
        <v>859</v>
      </c>
      <c r="J103">
        <v>3</v>
      </c>
      <c r="K103">
        <v>45</v>
      </c>
      <c r="L103">
        <v>45</v>
      </c>
      <c r="R103" t="s">
        <v>93</v>
      </c>
      <c r="U103" t="s">
        <v>860</v>
      </c>
      <c r="X103" t="s">
        <v>5</v>
      </c>
    </row>
    <row r="104" spans="1:24" x14ac:dyDescent="0.25">
      <c r="A104" t="s">
        <v>844</v>
      </c>
      <c r="D104" t="str">
        <f>LEFT(K25___K9[[#This Row],[Source.Name]],3)</f>
        <v>K9N</v>
      </c>
      <c r="E104" t="str">
        <f>MID(K25___K9[[#This Row],[Source.Name]],3,LEN(K25___K9[[#This Row],[Source.Name]])-6)</f>
        <v>NH</v>
      </c>
      <c r="F104">
        <v>2025</v>
      </c>
      <c r="G104">
        <v>1</v>
      </c>
      <c r="H104" t="s">
        <v>861</v>
      </c>
      <c r="I104" t="s">
        <v>770</v>
      </c>
      <c r="J104">
        <v>3</v>
      </c>
      <c r="K104">
        <v>45</v>
      </c>
      <c r="L104">
        <v>45</v>
      </c>
      <c r="R104" t="s">
        <v>724</v>
      </c>
      <c r="U104" t="s">
        <v>857</v>
      </c>
      <c r="X104" t="s">
        <v>5</v>
      </c>
    </row>
    <row r="105" spans="1:24" x14ac:dyDescent="0.25">
      <c r="A105" t="s">
        <v>862</v>
      </c>
      <c r="D105" t="str">
        <f>LEFT(K25___K9[[#This Row],[Source.Name]],3)</f>
        <v>K9Q</v>
      </c>
      <c r="E105" t="str">
        <f>MID(K25___K9[[#This Row],[Source.Name]],3,LEN(K25___K9[[#This Row],[Source.Name]])-6)</f>
        <v>QTKD</v>
      </c>
      <c r="F105">
        <v>2025</v>
      </c>
      <c r="G105">
        <v>1</v>
      </c>
      <c r="H105" t="s">
        <v>865</v>
      </c>
      <c r="I105" t="s">
        <v>866</v>
      </c>
      <c r="J105">
        <v>3</v>
      </c>
      <c r="K105">
        <v>45</v>
      </c>
      <c r="L105">
        <v>45</v>
      </c>
      <c r="S105" t="s">
        <v>867</v>
      </c>
      <c r="U105" t="s">
        <v>864</v>
      </c>
      <c r="X105" t="s">
        <v>5</v>
      </c>
    </row>
    <row r="106" spans="1:24" x14ac:dyDescent="0.25">
      <c r="A106" t="s">
        <v>862</v>
      </c>
      <c r="D106" t="str">
        <f>LEFT(K25___K9[[#This Row],[Source.Name]],3)</f>
        <v>K9Q</v>
      </c>
      <c r="E106" t="str">
        <f>MID(K25___K9[[#This Row],[Source.Name]],3,LEN(K25___K9[[#This Row],[Source.Name]])-6)</f>
        <v>QTKD</v>
      </c>
      <c r="F106">
        <v>2025</v>
      </c>
      <c r="G106">
        <v>1</v>
      </c>
      <c r="H106" t="s">
        <v>868</v>
      </c>
      <c r="I106" t="s">
        <v>775</v>
      </c>
      <c r="J106">
        <v>3</v>
      </c>
      <c r="K106">
        <v>45</v>
      </c>
      <c r="L106">
        <v>45</v>
      </c>
      <c r="S106" t="s">
        <v>867</v>
      </c>
      <c r="U106" t="s">
        <v>864</v>
      </c>
      <c r="X106" t="s">
        <v>5</v>
      </c>
    </row>
    <row r="107" spans="1:24" x14ac:dyDescent="0.25">
      <c r="A107" t="s">
        <v>862</v>
      </c>
      <c r="D107" t="str">
        <f>LEFT(K25___K9[[#This Row],[Source.Name]],3)</f>
        <v>K9Q</v>
      </c>
      <c r="E107" t="str">
        <f>MID(K25___K9[[#This Row],[Source.Name]],3,LEN(K25___K9[[#This Row],[Source.Name]])-6)</f>
        <v>QTKD</v>
      </c>
      <c r="F107">
        <v>2025</v>
      </c>
      <c r="G107">
        <v>1</v>
      </c>
      <c r="H107" t="s">
        <v>869</v>
      </c>
      <c r="I107" t="s">
        <v>778</v>
      </c>
      <c r="J107">
        <v>3</v>
      </c>
      <c r="K107">
        <v>45</v>
      </c>
      <c r="L107">
        <v>45</v>
      </c>
      <c r="S107" t="s">
        <v>867</v>
      </c>
      <c r="U107" t="s">
        <v>864</v>
      </c>
      <c r="X107" t="s">
        <v>5</v>
      </c>
    </row>
    <row r="108" spans="1:24" x14ac:dyDescent="0.25">
      <c r="A108" t="s">
        <v>862</v>
      </c>
      <c r="D108" t="str">
        <f>LEFT(K25___K9[[#This Row],[Source.Name]],3)</f>
        <v>K9Q</v>
      </c>
      <c r="E108" t="str">
        <f>MID(K25___K9[[#This Row],[Source.Name]],3,LEN(K25___K9[[#This Row],[Source.Name]])-6)</f>
        <v>QTKD</v>
      </c>
      <c r="F108">
        <v>2025</v>
      </c>
      <c r="G108">
        <v>1</v>
      </c>
      <c r="H108" t="s">
        <v>870</v>
      </c>
      <c r="I108" t="s">
        <v>783</v>
      </c>
      <c r="J108">
        <v>3</v>
      </c>
      <c r="K108">
        <v>45</v>
      </c>
      <c r="L108">
        <v>45</v>
      </c>
      <c r="S108" t="s">
        <v>781</v>
      </c>
      <c r="U108" t="s">
        <v>864</v>
      </c>
    </row>
    <row r="109" spans="1:24" x14ac:dyDescent="0.25">
      <c r="A109" t="s">
        <v>862</v>
      </c>
      <c r="D109" t="str">
        <f>LEFT(K25___K9[[#This Row],[Source.Name]],3)</f>
        <v>K9Q</v>
      </c>
      <c r="E109" t="str">
        <f>MID(K25___K9[[#This Row],[Source.Name]],3,LEN(K25___K9[[#This Row],[Source.Name]])-6)</f>
        <v>QTKD</v>
      </c>
      <c r="F109">
        <v>2025</v>
      </c>
      <c r="G109">
        <v>1</v>
      </c>
      <c r="H109" t="s">
        <v>871</v>
      </c>
      <c r="I109" t="s">
        <v>720</v>
      </c>
      <c r="J109">
        <v>3</v>
      </c>
      <c r="K109">
        <v>45</v>
      </c>
      <c r="L109">
        <v>45</v>
      </c>
      <c r="S109" t="s">
        <v>867</v>
      </c>
      <c r="U109" t="s">
        <v>829</v>
      </c>
      <c r="X109" t="s">
        <v>5</v>
      </c>
    </row>
    <row r="110" spans="1:24" x14ac:dyDescent="0.25">
      <c r="A110" t="s">
        <v>862</v>
      </c>
      <c r="D110" t="str">
        <f>LEFT(K25___K9[[#This Row],[Source.Name]],3)</f>
        <v>K9Q</v>
      </c>
      <c r="E110" t="str">
        <f>MID(K25___K9[[#This Row],[Source.Name]],3,LEN(K25___K9[[#This Row],[Source.Name]])-6)</f>
        <v>QTKD</v>
      </c>
      <c r="F110">
        <v>2025</v>
      </c>
      <c r="G110">
        <v>1</v>
      </c>
      <c r="H110" t="s">
        <v>872</v>
      </c>
      <c r="I110" t="s">
        <v>873</v>
      </c>
      <c r="J110">
        <v>3</v>
      </c>
      <c r="K110">
        <v>45</v>
      </c>
      <c r="L110">
        <v>45</v>
      </c>
      <c r="S110" t="s">
        <v>867</v>
      </c>
      <c r="U110" t="s">
        <v>864</v>
      </c>
      <c r="X110" t="s">
        <v>5</v>
      </c>
    </row>
    <row r="111" spans="1:24" x14ac:dyDescent="0.25">
      <c r="A111" t="s">
        <v>862</v>
      </c>
      <c r="D111" t="str">
        <f>LEFT(K25___K9[[#This Row],[Source.Name]],3)</f>
        <v>K9Q</v>
      </c>
      <c r="E111" t="str">
        <f>MID(K25___K9[[#This Row],[Source.Name]],3,LEN(K25___K9[[#This Row],[Source.Name]])-6)</f>
        <v>QTKD</v>
      </c>
      <c r="F111">
        <v>2025</v>
      </c>
      <c r="G111">
        <v>1</v>
      </c>
      <c r="H111" t="s">
        <v>874</v>
      </c>
      <c r="I111" t="s">
        <v>780</v>
      </c>
      <c r="J111">
        <v>3</v>
      </c>
      <c r="K111">
        <v>45</v>
      </c>
      <c r="L111">
        <v>45</v>
      </c>
      <c r="S111" t="s">
        <v>781</v>
      </c>
      <c r="U111" t="s">
        <v>864</v>
      </c>
    </row>
    <row r="112" spans="1:24" x14ac:dyDescent="0.25">
      <c r="A112" t="s">
        <v>862</v>
      </c>
      <c r="D112" t="str">
        <f>LEFT(K25___K9[[#This Row],[Source.Name]],3)</f>
        <v>K9Q</v>
      </c>
      <c r="E112" t="str">
        <f>MID(K25___K9[[#This Row],[Source.Name]],3,LEN(K25___K9[[#This Row],[Source.Name]])-6)</f>
        <v>QTKD</v>
      </c>
      <c r="F112">
        <v>2025</v>
      </c>
      <c r="G112">
        <v>1</v>
      </c>
      <c r="H112" t="s">
        <v>875</v>
      </c>
      <c r="I112" t="s">
        <v>238</v>
      </c>
      <c r="J112">
        <v>3</v>
      </c>
      <c r="K112">
        <v>45</v>
      </c>
      <c r="L112">
        <v>45</v>
      </c>
      <c r="S112" t="s">
        <v>876</v>
      </c>
      <c r="U112" t="s">
        <v>863</v>
      </c>
      <c r="X112" t="s">
        <v>5</v>
      </c>
    </row>
    <row r="113" spans="1:24" x14ac:dyDescent="0.25">
      <c r="A113" t="s">
        <v>862</v>
      </c>
      <c r="D113" t="str">
        <f>LEFT(K25___K9[[#This Row],[Source.Name]],3)</f>
        <v>K9Q</v>
      </c>
      <c r="E113" t="str">
        <f>MID(K25___K9[[#This Row],[Source.Name]],3,LEN(K25___K9[[#This Row],[Source.Name]])-6)</f>
        <v>QTKD</v>
      </c>
      <c r="F113">
        <v>2025</v>
      </c>
      <c r="G113">
        <v>1</v>
      </c>
      <c r="H113" t="s">
        <v>877</v>
      </c>
      <c r="I113" t="s">
        <v>773</v>
      </c>
      <c r="J113">
        <v>3</v>
      </c>
      <c r="K113">
        <v>45</v>
      </c>
      <c r="L113">
        <v>45</v>
      </c>
      <c r="S113" t="s">
        <v>876</v>
      </c>
      <c r="U113" t="s">
        <v>878</v>
      </c>
      <c r="X113" t="s">
        <v>5</v>
      </c>
    </row>
    <row r="114" spans="1:24" x14ac:dyDescent="0.25">
      <c r="A114" t="s">
        <v>862</v>
      </c>
      <c r="D114" t="str">
        <f>LEFT(K25___K9[[#This Row],[Source.Name]],3)</f>
        <v>K9Q</v>
      </c>
      <c r="E114" t="str">
        <f>MID(K25___K9[[#This Row],[Source.Name]],3,LEN(K25___K9[[#This Row],[Source.Name]])-6)</f>
        <v>QTKD</v>
      </c>
      <c r="F114">
        <v>2025</v>
      </c>
      <c r="G114">
        <v>1</v>
      </c>
      <c r="H114" t="s">
        <v>877</v>
      </c>
      <c r="I114" t="s">
        <v>773</v>
      </c>
      <c r="J114">
        <v>3</v>
      </c>
      <c r="K114">
        <v>45</v>
      </c>
      <c r="L114">
        <v>45</v>
      </c>
      <c r="S114" t="s">
        <v>781</v>
      </c>
      <c r="U114" t="s">
        <v>878</v>
      </c>
      <c r="X114" t="s">
        <v>5</v>
      </c>
    </row>
    <row r="115" spans="1:24" x14ac:dyDescent="0.25">
      <c r="A115" t="s">
        <v>862</v>
      </c>
      <c r="D115" t="str">
        <f>LEFT(K25___K9[[#This Row],[Source.Name]],3)</f>
        <v>K9Q</v>
      </c>
      <c r="E115" t="str">
        <f>MID(K25___K9[[#This Row],[Source.Name]],3,LEN(K25___K9[[#This Row],[Source.Name]])-6)</f>
        <v>QTKD</v>
      </c>
      <c r="F115">
        <v>2025</v>
      </c>
      <c r="G115">
        <v>1</v>
      </c>
      <c r="H115" t="s">
        <v>879</v>
      </c>
      <c r="I115" t="s">
        <v>240</v>
      </c>
      <c r="J115">
        <v>3</v>
      </c>
      <c r="K115">
        <v>45</v>
      </c>
      <c r="L115">
        <v>45</v>
      </c>
      <c r="S115" t="s">
        <v>876</v>
      </c>
      <c r="U115" t="s">
        <v>878</v>
      </c>
      <c r="X115" t="s">
        <v>5</v>
      </c>
    </row>
    <row r="116" spans="1:24" x14ac:dyDescent="0.25">
      <c r="A116" t="s">
        <v>862</v>
      </c>
      <c r="D116" t="str">
        <f>LEFT(K25___K9[[#This Row],[Source.Name]],3)</f>
        <v>K9Q</v>
      </c>
      <c r="E116" t="str">
        <f>MID(K25___K9[[#This Row],[Source.Name]],3,LEN(K25___K9[[#This Row],[Source.Name]])-6)</f>
        <v>QTKD</v>
      </c>
      <c r="F116">
        <v>2025</v>
      </c>
      <c r="G116">
        <v>1</v>
      </c>
      <c r="H116" t="s">
        <v>880</v>
      </c>
      <c r="I116" t="s">
        <v>787</v>
      </c>
      <c r="J116">
        <v>3</v>
      </c>
      <c r="K116">
        <v>45</v>
      </c>
      <c r="L116">
        <v>45</v>
      </c>
      <c r="S116" t="s">
        <v>876</v>
      </c>
      <c r="U116" t="s">
        <v>878</v>
      </c>
      <c r="X116" t="s">
        <v>5</v>
      </c>
    </row>
    <row r="117" spans="1:24" x14ac:dyDescent="0.25">
      <c r="A117" t="s">
        <v>862</v>
      </c>
      <c r="D117" t="str">
        <f>LEFT(K25___K9[[#This Row],[Source.Name]],3)</f>
        <v>K9Q</v>
      </c>
      <c r="E117" t="str">
        <f>MID(K25___K9[[#This Row],[Source.Name]],3,LEN(K25___K9[[#This Row],[Source.Name]])-6)</f>
        <v>QTKD</v>
      </c>
      <c r="F117">
        <v>2025</v>
      </c>
      <c r="G117">
        <v>1</v>
      </c>
      <c r="H117" t="s">
        <v>881</v>
      </c>
      <c r="I117" t="s">
        <v>791</v>
      </c>
      <c r="J117">
        <v>3</v>
      </c>
      <c r="K117">
        <v>45</v>
      </c>
      <c r="L117">
        <v>45</v>
      </c>
      <c r="S117" t="s">
        <v>876</v>
      </c>
      <c r="U117" t="s">
        <v>878</v>
      </c>
      <c r="X117" t="s">
        <v>5</v>
      </c>
    </row>
    <row r="118" spans="1:24" x14ac:dyDescent="0.25">
      <c r="A118" t="s">
        <v>862</v>
      </c>
      <c r="D118" t="str">
        <f>LEFT(K25___K9[[#This Row],[Source.Name]],3)</f>
        <v>K9Q</v>
      </c>
      <c r="E118" t="str">
        <f>MID(K25___K9[[#This Row],[Source.Name]],3,LEN(K25___K9[[#This Row],[Source.Name]])-6)</f>
        <v>QTKD</v>
      </c>
      <c r="F118">
        <v>2025</v>
      </c>
      <c r="G118">
        <v>1</v>
      </c>
      <c r="H118" t="s">
        <v>882</v>
      </c>
      <c r="I118" t="s">
        <v>793</v>
      </c>
      <c r="J118">
        <v>3</v>
      </c>
      <c r="K118">
        <v>45</v>
      </c>
      <c r="L118">
        <v>45</v>
      </c>
      <c r="S118" t="s">
        <v>876</v>
      </c>
      <c r="U118" t="s">
        <v>878</v>
      </c>
      <c r="X118" t="s">
        <v>5</v>
      </c>
    </row>
    <row r="119" spans="1:24" x14ac:dyDescent="0.25">
      <c r="A119" t="s">
        <v>883</v>
      </c>
      <c r="D119" t="str">
        <f>LEFT(K25___K9[[#This Row],[Source.Name]],3)</f>
        <v>K9T</v>
      </c>
      <c r="E119" t="str">
        <f>MID(K25___K9[[#This Row],[Source.Name]],3,LEN(K25___K9[[#This Row],[Source.Name]])-6)</f>
        <v>TC</v>
      </c>
      <c r="F119">
        <v>2025</v>
      </c>
      <c r="G119">
        <v>1</v>
      </c>
      <c r="H119" t="s">
        <v>885</v>
      </c>
      <c r="I119" t="s">
        <v>796</v>
      </c>
      <c r="J119">
        <v>2</v>
      </c>
      <c r="K119">
        <v>30</v>
      </c>
      <c r="L119">
        <v>30</v>
      </c>
      <c r="U119" t="s">
        <v>886</v>
      </c>
      <c r="X119" t="s">
        <v>5</v>
      </c>
    </row>
    <row r="120" spans="1:24" x14ac:dyDescent="0.25">
      <c r="A120" t="s">
        <v>883</v>
      </c>
      <c r="D120" t="str">
        <f>LEFT(K25___K9[[#This Row],[Source.Name]],3)</f>
        <v>K9T</v>
      </c>
      <c r="E120" t="str">
        <f>MID(K25___K9[[#This Row],[Source.Name]],3,LEN(K25___K9[[#This Row],[Source.Name]])-6)</f>
        <v>TC</v>
      </c>
      <c r="F120">
        <v>2025</v>
      </c>
      <c r="G120">
        <v>1</v>
      </c>
      <c r="H120" t="s">
        <v>887</v>
      </c>
      <c r="I120" t="s">
        <v>799</v>
      </c>
      <c r="J120">
        <v>3</v>
      </c>
      <c r="K120">
        <v>45</v>
      </c>
      <c r="L120">
        <v>45</v>
      </c>
      <c r="U120" t="s">
        <v>884</v>
      </c>
      <c r="X120" t="s">
        <v>5</v>
      </c>
    </row>
    <row r="121" spans="1:24" x14ac:dyDescent="0.25">
      <c r="A121" t="s">
        <v>883</v>
      </c>
      <c r="D121" t="str">
        <f>LEFT(K25___K9[[#This Row],[Source.Name]],3)</f>
        <v>K9T</v>
      </c>
      <c r="E121" t="str">
        <f>MID(K25___K9[[#This Row],[Source.Name]],3,LEN(K25___K9[[#This Row],[Source.Name]])-6)</f>
        <v>TC</v>
      </c>
      <c r="F121">
        <v>2025</v>
      </c>
      <c r="G121">
        <v>1</v>
      </c>
      <c r="H121" t="s">
        <v>888</v>
      </c>
      <c r="I121" t="s">
        <v>801</v>
      </c>
      <c r="J121">
        <v>2</v>
      </c>
      <c r="K121">
        <v>30</v>
      </c>
      <c r="L121">
        <v>30</v>
      </c>
      <c r="X121" t="s">
        <v>5</v>
      </c>
    </row>
    <row r="122" spans="1:24" x14ac:dyDescent="0.25">
      <c r="A122" t="s">
        <v>883</v>
      </c>
      <c r="D122" t="str">
        <f>LEFT(K25___K9[[#This Row],[Source.Name]],3)</f>
        <v>K9T</v>
      </c>
      <c r="E122" t="str">
        <f>MID(K25___K9[[#This Row],[Source.Name]],3,LEN(K25___K9[[#This Row],[Source.Name]])-6)</f>
        <v>TC</v>
      </c>
      <c r="F122">
        <v>2025</v>
      </c>
      <c r="G122">
        <v>1</v>
      </c>
      <c r="H122" t="s">
        <v>889</v>
      </c>
      <c r="I122" t="s">
        <v>803</v>
      </c>
      <c r="J122">
        <v>1</v>
      </c>
      <c r="K122">
        <v>15</v>
      </c>
      <c r="L122">
        <v>15</v>
      </c>
      <c r="U122" t="s">
        <v>890</v>
      </c>
      <c r="X122" t="s">
        <v>5</v>
      </c>
    </row>
    <row r="123" spans="1:24" x14ac:dyDescent="0.25">
      <c r="A123" t="s">
        <v>883</v>
      </c>
      <c r="D123" t="str">
        <f>LEFT(K25___K9[[#This Row],[Source.Name]],3)</f>
        <v>K9T</v>
      </c>
      <c r="E123" t="str">
        <f>MID(K25___K9[[#This Row],[Source.Name]],3,LEN(K25___K9[[#This Row],[Source.Name]])-6)</f>
        <v>TC</v>
      </c>
      <c r="F123">
        <v>2025</v>
      </c>
      <c r="G123">
        <v>1</v>
      </c>
      <c r="H123" t="s">
        <v>891</v>
      </c>
      <c r="I123" t="s">
        <v>809</v>
      </c>
      <c r="J123">
        <v>3</v>
      </c>
      <c r="K123">
        <v>45</v>
      </c>
      <c r="L123">
        <v>45</v>
      </c>
      <c r="R123" t="s">
        <v>892</v>
      </c>
      <c r="U123" t="s">
        <v>884</v>
      </c>
      <c r="X123" t="s">
        <v>5</v>
      </c>
    </row>
    <row r="124" spans="1:24" x14ac:dyDescent="0.25">
      <c r="A124" t="s">
        <v>883</v>
      </c>
      <c r="D124" t="str">
        <f>LEFT(K25___K9[[#This Row],[Source.Name]],3)</f>
        <v>K9T</v>
      </c>
      <c r="E124" t="str">
        <f>MID(K25___K9[[#This Row],[Source.Name]],3,LEN(K25___K9[[#This Row],[Source.Name]])-6)</f>
        <v>TC</v>
      </c>
      <c r="F124">
        <v>2025</v>
      </c>
      <c r="G124">
        <v>1</v>
      </c>
      <c r="H124" t="s">
        <v>893</v>
      </c>
      <c r="I124" t="s">
        <v>813</v>
      </c>
      <c r="J124">
        <v>3</v>
      </c>
      <c r="K124">
        <v>45</v>
      </c>
      <c r="L124">
        <v>45</v>
      </c>
      <c r="R124" t="s">
        <v>892</v>
      </c>
      <c r="U124" t="s">
        <v>894</v>
      </c>
      <c r="X124" t="s">
        <v>5</v>
      </c>
    </row>
    <row r="125" spans="1:24" x14ac:dyDescent="0.25">
      <c r="A125" t="s">
        <v>883</v>
      </c>
      <c r="D125" t="str">
        <f>LEFT(K25___K9[[#This Row],[Source.Name]],3)</f>
        <v>K9T</v>
      </c>
      <c r="E125" t="str">
        <f>MID(K25___K9[[#This Row],[Source.Name]],3,LEN(K25___K9[[#This Row],[Source.Name]])-6)</f>
        <v>TC</v>
      </c>
      <c r="F125">
        <v>2025</v>
      </c>
      <c r="G125">
        <v>1</v>
      </c>
      <c r="H125" t="s">
        <v>895</v>
      </c>
      <c r="I125" t="s">
        <v>817</v>
      </c>
      <c r="J125">
        <v>3</v>
      </c>
      <c r="K125">
        <v>45</v>
      </c>
      <c r="L125">
        <v>45</v>
      </c>
      <c r="R125" t="s">
        <v>892</v>
      </c>
      <c r="U125" t="s">
        <v>896</v>
      </c>
      <c r="X125" t="s">
        <v>5</v>
      </c>
    </row>
    <row r="126" spans="1:24" x14ac:dyDescent="0.25">
      <c r="A126" t="s">
        <v>883</v>
      </c>
      <c r="D126" t="str">
        <f>LEFT(K25___K9[[#This Row],[Source.Name]],3)</f>
        <v>K9T</v>
      </c>
      <c r="E126" t="str">
        <f>MID(K25___K9[[#This Row],[Source.Name]],3,LEN(K25___K9[[#This Row],[Source.Name]])-6)</f>
        <v>TC</v>
      </c>
      <c r="F126">
        <v>2025</v>
      </c>
      <c r="G126">
        <v>1</v>
      </c>
      <c r="H126" t="s">
        <v>897</v>
      </c>
      <c r="I126" t="s">
        <v>821</v>
      </c>
      <c r="J126">
        <v>3</v>
      </c>
      <c r="K126">
        <v>45</v>
      </c>
      <c r="L126">
        <v>45</v>
      </c>
      <c r="R126" t="s">
        <v>892</v>
      </c>
      <c r="U126" t="s">
        <v>890</v>
      </c>
      <c r="X126" t="s">
        <v>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4458F-B658-4A66-A2B5-C730292FE26A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9AFAB1-6547-4CC2-82B1-8D8FB54B27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K25 &amp; K9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HP280</dc:creator>
  <cp:lastModifiedBy>HP280</cp:lastModifiedBy>
  <dcterms:created xsi:type="dcterms:W3CDTF">2025-12-16T02:44:22Z</dcterms:created>
  <dcterms:modified xsi:type="dcterms:W3CDTF">2025-12-26T06:08:45Z</dcterms:modified>
</cp:coreProperties>
</file>